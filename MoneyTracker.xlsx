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3.xml" ContentType="application/vnd.openxmlformats-officedocument.spreadsheetml.comments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My Drive\"/>
    </mc:Choice>
  </mc:AlternateContent>
  <xr:revisionPtr revIDLastSave="0" documentId="13_ncr:1_{8D7B3279-7AB6-4989-94E3-DAE576DFC667}" xr6:coauthVersionLast="47" xr6:coauthVersionMax="47" xr10:uidLastSave="{00000000-0000-0000-0000-000000000000}"/>
  <bookViews>
    <workbookView xWindow="-120" yWindow="-120" windowWidth="20640" windowHeight="11040" tabRatio="999" xr2:uid="{EDFD7C94-A764-411B-87D5-B0BC6F025321}"/>
  </bookViews>
  <sheets>
    <sheet name="DashBoard" sheetId="5" r:id="rId1"/>
    <sheet name="Income" sheetId="1" r:id="rId2"/>
    <sheet name="Expenses" sheetId="3" r:id="rId3"/>
    <sheet name="Loan" sheetId="2" r:id="rId4"/>
    <sheet name="Investment" sheetId="4" r:id="rId5"/>
    <sheet name="Corpus" sheetId="7" r:id="rId6"/>
    <sheet name="LongTerm" sheetId="12" r:id="rId7"/>
    <sheet name="Asset" sheetId="11" r:id="rId8"/>
    <sheet name="LatestDump" sheetId="8" r:id="rId9"/>
    <sheet name="Investment Transactions" sheetId="6" r:id="rId10"/>
  </sheets>
  <externalReferences>
    <externalReference r:id="rId11"/>
  </externalReferences>
  <definedNames>
    <definedName name="_xlnm._FilterDatabase" localSheetId="7" hidden="1">Asset!#REF!</definedName>
    <definedName name="_xlnm._FilterDatabase" localSheetId="8" hidden="1">LatestDump!$B$1:$J$97</definedName>
    <definedName name="_xlnm._FilterDatabase" localSheetId="3" hidden="1">Loan!$I$19:$Q$40</definedName>
    <definedName name="_xlnm._FilterDatabase" localSheetId="6" hidden="1">LongTerm!#REF!</definedName>
    <definedName name="ActualInvestment" localSheetId="6">LongTerm!#REF!</definedName>
    <definedName name="ActualInvestment">Asset!#REF!</definedName>
    <definedName name="avgExpense">DashBoard!$D$27</definedName>
    <definedName name="avgIncome">DashBoard!$C$27</definedName>
    <definedName name="AvgInvestment">DashBoard!$F$27</definedName>
    <definedName name="avgLoanRePayment">DashBoard!$E$27</definedName>
    <definedName name="AvgSavings">DashBoard!$G$27</definedName>
    <definedName name="BasicSalary">Income!$C$2</definedName>
    <definedName name="CurrentMonth">DashBoard!$F$1</definedName>
    <definedName name="ExpenseAvg">Expenses!$C$12</definedName>
    <definedName name="IncomeAvg">Income!$D$11</definedName>
    <definedName name="IntraDayLCount">[1]Ledger!$U$2</definedName>
    <definedName name="IntraDayLearnPer">[1]Ledger!$Y$2</definedName>
    <definedName name="IntraDayProfit">[1]Ledger!$W$2</definedName>
    <definedName name="IntraDayProfitPer">[1]Ledger!$X$2</definedName>
    <definedName name="IntraDaySCount">[1]Ledger!$T$2</definedName>
    <definedName name="InvestmentAvg">Investment!$C$14</definedName>
    <definedName name="InvestmentCurrValue" localSheetId="6">LongTerm!#REF!</definedName>
    <definedName name="InvestmentCurrValue">Asset!#REF!</definedName>
    <definedName name="InvestmentProfit" localSheetId="6">LongTerm!#REF!</definedName>
    <definedName name="InvestmentProfit">Asset!#REF!</definedName>
    <definedName name="InvestmentQuota">Investment!$C$3</definedName>
    <definedName name="INVQuota" localSheetId="7">Asset!#REF!</definedName>
    <definedName name="INVQuota" localSheetId="6">LongTerm!#REF!</definedName>
    <definedName name="INVQuota">#REF!</definedName>
    <definedName name="LoanAvg">Loan!$D$13</definedName>
    <definedName name="LongTermQuota">Corpus!$F$17</definedName>
    <definedName name="StockPortfolioValue">Corpus!$K$4</definedName>
    <definedName name="StocksWallet">Investment!$A$3</definedName>
    <definedName name="SummartTable" localSheetId="6">Table3[#All]</definedName>
    <definedName name="SummartTable">Table3[#All]</definedName>
    <definedName name="SwingInvestment">[1]Ledger!#REF!</definedName>
    <definedName name="SwingOpenOrder">[1]Ledger!$Z$3</definedName>
    <definedName name="SwingProfit">[1]Ledger!$W$3</definedName>
    <definedName name="SwingTradeQuota">Corpus!$F$19</definedName>
    <definedName name="TotalInvestment" localSheetId="6">LongTerm!#REF!</definedName>
    <definedName name="TotalInvestment">Asset!#REF!</definedName>
    <definedName name="TotalMonth">DashBoard!$H$1</definedName>
    <definedName name="TradingFund" localSheetId="6">LongTerm!#REF!</definedName>
    <definedName name="TradingFund">Asset!#REF!</definedName>
    <definedName name="TradingQuota" localSheetId="6">LongTerm!#REF!</definedName>
    <definedName name="TradingQuota">Asset!#REF!</definedName>
  </definedName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5" l="1"/>
  <c r="D24" i="5"/>
  <c r="E24" i="5"/>
  <c r="F24" i="5"/>
  <c r="G24" i="5"/>
  <c r="J98" i="8"/>
  <c r="E38" i="11"/>
  <c r="G38" i="11"/>
  <c r="E47" i="11"/>
  <c r="G47" i="11"/>
  <c r="D11" i="4"/>
  <c r="C85" i="6"/>
  <c r="E85" i="6"/>
  <c r="I85" i="6"/>
  <c r="O85" i="6"/>
  <c r="C84" i="6"/>
  <c r="E84" i="6"/>
  <c r="I84" i="6"/>
  <c r="O84" i="6"/>
  <c r="C83" i="6"/>
  <c r="E83" i="6"/>
  <c r="I83" i="6"/>
  <c r="O83" i="6"/>
  <c r="C75" i="6"/>
  <c r="C76" i="6"/>
  <c r="C77" i="6"/>
  <c r="C78" i="6"/>
  <c r="C79" i="6"/>
  <c r="C80" i="6"/>
  <c r="C81" i="6"/>
  <c r="C82" i="6"/>
  <c r="E75" i="6"/>
  <c r="E76" i="6"/>
  <c r="E77" i="6"/>
  <c r="E78" i="6"/>
  <c r="E79" i="6"/>
  <c r="E80" i="6"/>
  <c r="E81" i="6"/>
  <c r="E82" i="6"/>
  <c r="I75" i="6"/>
  <c r="I76" i="6"/>
  <c r="I77" i="6"/>
  <c r="I78" i="6"/>
  <c r="I79" i="6"/>
  <c r="I80" i="6"/>
  <c r="I81" i="6"/>
  <c r="I82" i="6"/>
  <c r="O75" i="6"/>
  <c r="O76" i="6"/>
  <c r="O77" i="6"/>
  <c r="O78" i="6"/>
  <c r="O79" i="6"/>
  <c r="O80" i="6"/>
  <c r="O81" i="6"/>
  <c r="O82" i="6"/>
  <c r="F9" i="3"/>
  <c r="G9" i="3"/>
  <c r="B10" i="2"/>
  <c r="D10" i="2"/>
  <c r="E8" i="1"/>
  <c r="N8" i="1"/>
  <c r="B8" i="1"/>
  <c r="H8" i="3"/>
  <c r="F8" i="3"/>
  <c r="G8" i="3"/>
  <c r="D8" i="3"/>
  <c r="C8" i="3"/>
  <c r="C12" i="12"/>
  <c r="E4" i="11"/>
  <c r="F12" i="12"/>
  <c r="H12" i="12"/>
  <c r="J12" i="12"/>
  <c r="N12" i="12"/>
  <c r="C15" i="12"/>
  <c r="F15" i="12"/>
  <c r="H15" i="12"/>
  <c r="J15" i="12"/>
  <c r="N15" i="12"/>
  <c r="C13" i="12"/>
  <c r="F13" i="12"/>
  <c r="H13" i="12"/>
  <c r="J13" i="12"/>
  <c r="N13" i="12"/>
  <c r="C4" i="12"/>
  <c r="F4" i="12"/>
  <c r="H4" i="12"/>
  <c r="J4" i="12"/>
  <c r="N4" i="12"/>
  <c r="C73" i="6"/>
  <c r="E73" i="6"/>
  <c r="I73" i="6"/>
  <c r="O73" i="6"/>
  <c r="E28" i="11"/>
  <c r="G28" i="11"/>
  <c r="L28" i="11"/>
  <c r="M28" i="11"/>
  <c r="N28" i="11"/>
  <c r="E50" i="11"/>
  <c r="G50" i="11"/>
  <c r="L50" i="11"/>
  <c r="M50" i="11"/>
  <c r="N50" i="11"/>
  <c r="E29" i="11"/>
  <c r="F29" i="11" s="1"/>
  <c r="W29" i="11" s="1"/>
  <c r="G29" i="11"/>
  <c r="L29" i="11"/>
  <c r="M29" i="11"/>
  <c r="N29" i="11"/>
  <c r="E96" i="11"/>
  <c r="G96" i="11"/>
  <c r="L96" i="11"/>
  <c r="M96" i="11"/>
  <c r="N96" i="11"/>
  <c r="E97" i="11"/>
  <c r="G97" i="11"/>
  <c r="L97" i="11"/>
  <c r="M97" i="11"/>
  <c r="N97" i="11"/>
  <c r="E33" i="11"/>
  <c r="G33" i="11"/>
  <c r="L33" i="11"/>
  <c r="M33" i="11"/>
  <c r="N33" i="11"/>
  <c r="E35" i="11"/>
  <c r="G35" i="11"/>
  <c r="L35" i="11"/>
  <c r="M35" i="11"/>
  <c r="N35" i="11"/>
  <c r="E36" i="11"/>
  <c r="G36" i="11"/>
  <c r="L36" i="11"/>
  <c r="M36" i="11"/>
  <c r="N36" i="11"/>
  <c r="J94" i="8"/>
  <c r="J95" i="8"/>
  <c r="J96" i="8"/>
  <c r="J97" i="8"/>
  <c r="C12" i="8"/>
  <c r="D12" i="8"/>
  <c r="G12" i="8"/>
  <c r="H12" i="8"/>
  <c r="C13" i="8"/>
  <c r="D13" i="8"/>
  <c r="G13" i="8"/>
  <c r="H13" i="8"/>
  <c r="C14" i="8"/>
  <c r="D14" i="8"/>
  <c r="G14" i="8"/>
  <c r="H14" i="8"/>
  <c r="C15" i="8"/>
  <c r="D15" i="8"/>
  <c r="G15" i="8"/>
  <c r="H15" i="8"/>
  <c r="C16" i="8"/>
  <c r="D16" i="8"/>
  <c r="G16" i="8"/>
  <c r="H16" i="8"/>
  <c r="C17" i="8"/>
  <c r="D17" i="8"/>
  <c r="G17" i="8"/>
  <c r="H17" i="8"/>
  <c r="C18" i="8"/>
  <c r="D18" i="8"/>
  <c r="G18" i="8"/>
  <c r="H18" i="8"/>
  <c r="C19" i="8"/>
  <c r="D19" i="8"/>
  <c r="G19" i="8"/>
  <c r="H19" i="8"/>
  <c r="C20" i="8"/>
  <c r="D20" i="8"/>
  <c r="G20" i="8"/>
  <c r="H20" i="8"/>
  <c r="C21" i="8"/>
  <c r="D21" i="8"/>
  <c r="G21" i="8"/>
  <c r="H21" i="8"/>
  <c r="C22" i="8"/>
  <c r="D22" i="8"/>
  <c r="G22" i="8"/>
  <c r="H22" i="8"/>
  <c r="C23" i="8"/>
  <c r="D23" i="8"/>
  <c r="G23" i="8"/>
  <c r="H23" i="8"/>
  <c r="C24" i="8"/>
  <c r="D24" i="8"/>
  <c r="G24" i="8"/>
  <c r="H24" i="8"/>
  <c r="C25" i="8"/>
  <c r="D25" i="8"/>
  <c r="G25" i="8"/>
  <c r="H25" i="8"/>
  <c r="C26" i="8"/>
  <c r="C74" i="6"/>
  <c r="C67" i="6"/>
  <c r="C68" i="6"/>
  <c r="C69" i="6"/>
  <c r="C70" i="6"/>
  <c r="C71" i="6"/>
  <c r="C72" i="6"/>
  <c r="E74" i="6"/>
  <c r="E67" i="6"/>
  <c r="E68" i="6"/>
  <c r="E69" i="6"/>
  <c r="E70" i="6"/>
  <c r="E71" i="6"/>
  <c r="E72" i="6"/>
  <c r="I74" i="6"/>
  <c r="I67" i="6"/>
  <c r="I68" i="6"/>
  <c r="I69" i="6"/>
  <c r="I70" i="6"/>
  <c r="I71" i="6"/>
  <c r="I72" i="6"/>
  <c r="O74" i="6"/>
  <c r="O67" i="6"/>
  <c r="O68" i="6"/>
  <c r="O69" i="6"/>
  <c r="O70" i="6"/>
  <c r="O71" i="6"/>
  <c r="O72" i="6"/>
  <c r="M39" i="2"/>
  <c r="I39" i="2"/>
  <c r="M38" i="2"/>
  <c r="I38" i="2"/>
  <c r="I37" i="2"/>
  <c r="M37" i="2"/>
  <c r="G13" i="2"/>
  <c r="G12" i="2"/>
  <c r="G3" i="2" s="1"/>
  <c r="B7" i="1"/>
  <c r="D7" i="1"/>
  <c r="B9" i="2"/>
  <c r="D9" i="2"/>
  <c r="I35" i="2"/>
  <c r="I36" i="2"/>
  <c r="O36" i="2" s="1"/>
  <c r="G7" i="3"/>
  <c r="K7" i="3"/>
  <c r="F7" i="3"/>
  <c r="D9" i="4"/>
  <c r="C62" i="6"/>
  <c r="C63" i="6"/>
  <c r="C64" i="6"/>
  <c r="E62" i="6"/>
  <c r="E63" i="6"/>
  <c r="E64" i="6"/>
  <c r="I62" i="6"/>
  <c r="I63" i="6"/>
  <c r="I64" i="6"/>
  <c r="O62" i="6"/>
  <c r="O63" i="6"/>
  <c r="O64" i="6"/>
  <c r="J35" i="8"/>
  <c r="J88" i="8"/>
  <c r="J89" i="8"/>
  <c r="J90" i="8"/>
  <c r="J91" i="8"/>
  <c r="J92" i="8"/>
  <c r="J93" i="8"/>
  <c r="J87" i="8"/>
  <c r="C66" i="6"/>
  <c r="C65" i="6"/>
  <c r="C61" i="6"/>
  <c r="C60" i="6"/>
  <c r="C59" i="6"/>
  <c r="C55" i="6"/>
  <c r="C56" i="6"/>
  <c r="C57" i="6"/>
  <c r="C58" i="6"/>
  <c r="C54" i="6"/>
  <c r="E66" i="6"/>
  <c r="E65" i="6"/>
  <c r="E61" i="6"/>
  <c r="E60" i="6"/>
  <c r="E59" i="6"/>
  <c r="E55" i="6"/>
  <c r="E56" i="6"/>
  <c r="E57" i="6"/>
  <c r="E58" i="6"/>
  <c r="E54" i="6"/>
  <c r="I66" i="6"/>
  <c r="I65" i="6"/>
  <c r="I61" i="6"/>
  <c r="I60" i="6"/>
  <c r="I59" i="6"/>
  <c r="I55" i="6"/>
  <c r="I56" i="6"/>
  <c r="I57" i="6"/>
  <c r="I58" i="6"/>
  <c r="I54" i="6"/>
  <c r="O66" i="6"/>
  <c r="O65" i="6"/>
  <c r="O61" i="6"/>
  <c r="O60" i="6"/>
  <c r="O59" i="6"/>
  <c r="O55" i="6"/>
  <c r="O56" i="6"/>
  <c r="O57" i="6"/>
  <c r="O58" i="6"/>
  <c r="O54" i="6"/>
  <c r="B8" i="2"/>
  <c r="D8" i="2"/>
  <c r="E23" i="5" s="1"/>
  <c r="C7" i="3"/>
  <c r="B9" i="1"/>
  <c r="D9" i="1"/>
  <c r="C23" i="5" s="1"/>
  <c r="S113" i="11"/>
  <c r="E21" i="11"/>
  <c r="F21" i="11" s="1"/>
  <c r="J18" i="8"/>
  <c r="N49" i="11"/>
  <c r="N53" i="11"/>
  <c r="N70" i="11"/>
  <c r="N100" i="11"/>
  <c r="N106" i="11"/>
  <c r="N109" i="11"/>
  <c r="N112" i="11"/>
  <c r="N22" i="11"/>
  <c r="N8" i="11"/>
  <c r="N9" i="11"/>
  <c r="N12" i="11"/>
  <c r="N18" i="11"/>
  <c r="N19" i="11"/>
  <c r="N46" i="11"/>
  <c r="N48" i="11"/>
  <c r="N6" i="11"/>
  <c r="N3" i="11"/>
  <c r="N24" i="11"/>
  <c r="N23" i="11"/>
  <c r="N2" i="11"/>
  <c r="N27" i="11"/>
  <c r="N40" i="11"/>
  <c r="N45" i="11"/>
  <c r="N56" i="11"/>
  <c r="N63" i="11"/>
  <c r="N65" i="11"/>
  <c r="N72" i="11"/>
  <c r="N75" i="11"/>
  <c r="N83" i="11"/>
  <c r="N101" i="11"/>
  <c r="N102" i="11"/>
  <c r="N108" i="11"/>
  <c r="M49" i="11"/>
  <c r="M53" i="11"/>
  <c r="M70" i="11"/>
  <c r="M100" i="11"/>
  <c r="M106" i="11"/>
  <c r="M109" i="11"/>
  <c r="M112" i="11"/>
  <c r="M22" i="11"/>
  <c r="M8" i="11"/>
  <c r="M9" i="11"/>
  <c r="M12" i="11"/>
  <c r="M18" i="11"/>
  <c r="M19" i="11"/>
  <c r="M46" i="11"/>
  <c r="M48" i="11"/>
  <c r="M6" i="11"/>
  <c r="M3" i="11"/>
  <c r="M24" i="11"/>
  <c r="M23" i="11"/>
  <c r="M2" i="11"/>
  <c r="M27" i="11"/>
  <c r="M40" i="11"/>
  <c r="M45" i="11"/>
  <c r="M56" i="11"/>
  <c r="M63" i="11"/>
  <c r="M65" i="11"/>
  <c r="M72" i="11"/>
  <c r="M75" i="11"/>
  <c r="M83" i="11"/>
  <c r="M101" i="11"/>
  <c r="M102" i="11"/>
  <c r="M108" i="11"/>
  <c r="L49" i="11"/>
  <c r="L53" i="11"/>
  <c r="L70" i="11"/>
  <c r="L100" i="11"/>
  <c r="L106" i="11"/>
  <c r="L109" i="11"/>
  <c r="L112" i="11"/>
  <c r="L22" i="11"/>
  <c r="L8" i="11"/>
  <c r="L9" i="11"/>
  <c r="L12" i="11"/>
  <c r="L18" i="11"/>
  <c r="L19" i="11"/>
  <c r="L46" i="11"/>
  <c r="L48" i="11"/>
  <c r="L6" i="11"/>
  <c r="L3" i="11"/>
  <c r="L24" i="11"/>
  <c r="L23" i="11"/>
  <c r="L2" i="11"/>
  <c r="L27" i="11"/>
  <c r="L40" i="11"/>
  <c r="L45" i="11"/>
  <c r="L56" i="11"/>
  <c r="L63" i="11"/>
  <c r="L65" i="11"/>
  <c r="L72" i="11"/>
  <c r="L75" i="11"/>
  <c r="L83" i="11"/>
  <c r="L101" i="11"/>
  <c r="L102" i="11"/>
  <c r="L108" i="11"/>
  <c r="L13" i="7"/>
  <c r="I52" i="6"/>
  <c r="I53" i="6"/>
  <c r="I51" i="6"/>
  <c r="I48" i="6"/>
  <c r="I49" i="6"/>
  <c r="I50" i="6"/>
  <c r="I43" i="6"/>
  <c r="I44" i="6"/>
  <c r="I45" i="6"/>
  <c r="I46" i="6"/>
  <c r="I47" i="6"/>
  <c r="I42" i="6"/>
  <c r="I39" i="6"/>
  <c r="I40" i="6"/>
  <c r="I41" i="6"/>
  <c r="I35" i="6"/>
  <c r="I36" i="6"/>
  <c r="I37" i="6"/>
  <c r="I38" i="6"/>
  <c r="I34" i="6"/>
  <c r="I30" i="6"/>
  <c r="I31" i="6"/>
  <c r="I32" i="6"/>
  <c r="I33" i="6"/>
  <c r="I29" i="6"/>
  <c r="I22" i="6"/>
  <c r="I23" i="6"/>
  <c r="I24" i="6"/>
  <c r="I25" i="6"/>
  <c r="I26" i="6"/>
  <c r="I27" i="6"/>
  <c r="I28" i="6"/>
  <c r="I21" i="6"/>
  <c r="I19" i="6"/>
  <c r="I20" i="6"/>
  <c r="I18" i="6"/>
  <c r="I17" i="6"/>
  <c r="I15" i="6"/>
  <c r="I16" i="6"/>
  <c r="I14" i="6"/>
  <c r="I13" i="6"/>
  <c r="I11" i="6"/>
  <c r="I12" i="6"/>
  <c r="I10" i="6"/>
  <c r="I9" i="6"/>
  <c r="I3" i="6"/>
  <c r="I4" i="6"/>
  <c r="I5" i="6"/>
  <c r="I6" i="6"/>
  <c r="I7" i="6"/>
  <c r="I8" i="6"/>
  <c r="T113" i="11"/>
  <c r="H1" i="5"/>
  <c r="J14" i="4"/>
  <c r="K14" i="4"/>
  <c r="E12" i="5" s="1"/>
  <c r="L14" i="4"/>
  <c r="F12" i="5" s="1"/>
  <c r="M14" i="4"/>
  <c r="N14" i="4"/>
  <c r="E11" i="5"/>
  <c r="L20" i="2"/>
  <c r="M20" i="2" s="1"/>
  <c r="L34" i="2"/>
  <c r="I34" i="2" s="1"/>
  <c r="O34" i="2" s="1"/>
  <c r="L33" i="2"/>
  <c r="I33" i="2" s="1"/>
  <c r="O33" i="2" s="1"/>
  <c r="L32" i="2"/>
  <c r="N40" i="2"/>
  <c r="M36" i="2"/>
  <c r="K35" i="2"/>
  <c r="M35" i="2" s="1"/>
  <c r="C23" i="7"/>
  <c r="C24" i="7" s="1"/>
  <c r="C25" i="7" s="1"/>
  <c r="C26" i="7" s="1"/>
  <c r="H23" i="5" s="1"/>
  <c r="I21" i="2"/>
  <c r="O21" i="2" s="1"/>
  <c r="I22" i="2"/>
  <c r="O22" i="2" s="1"/>
  <c r="I23" i="2"/>
  <c r="I24" i="2"/>
  <c r="O24" i="2" s="1"/>
  <c r="I26" i="2"/>
  <c r="O26" i="2" s="1"/>
  <c r="I27" i="2"/>
  <c r="O27" i="2" s="1"/>
  <c r="I28" i="2"/>
  <c r="I29" i="2"/>
  <c r="I30" i="2"/>
  <c r="I31" i="2"/>
  <c r="I25" i="2"/>
  <c r="B6" i="1"/>
  <c r="D6" i="1"/>
  <c r="C22" i="5" s="1"/>
  <c r="E7" i="8"/>
  <c r="G7" i="8" s="1"/>
  <c r="H7" i="8" s="1"/>
  <c r="E6" i="8"/>
  <c r="G6" i="8" s="1"/>
  <c r="H6" i="8" s="1"/>
  <c r="E5" i="8"/>
  <c r="G5" i="8" s="1"/>
  <c r="H5" i="8" s="1"/>
  <c r="J7" i="8"/>
  <c r="J6" i="8"/>
  <c r="J5" i="8"/>
  <c r="B5" i="8"/>
  <c r="E112" i="11" s="1"/>
  <c r="B7" i="8"/>
  <c r="E22" i="11" s="1"/>
  <c r="B6" i="8"/>
  <c r="E2" i="11" s="1"/>
  <c r="E3" i="11"/>
  <c r="E5" i="11"/>
  <c r="F5" i="11" s="1"/>
  <c r="E24" i="11"/>
  <c r="E8" i="11"/>
  <c r="F8" i="11" s="1"/>
  <c r="E9" i="11"/>
  <c r="F9" i="11" s="1"/>
  <c r="J26" i="6" s="1"/>
  <c r="E10" i="11"/>
  <c r="F10" i="11" s="1"/>
  <c r="E11" i="11"/>
  <c r="F11" i="11" s="1"/>
  <c r="E12" i="11"/>
  <c r="F12" i="11" s="1"/>
  <c r="E16" i="11"/>
  <c r="F16" i="11" s="1"/>
  <c r="J41" i="6" s="1"/>
  <c r="E13" i="11"/>
  <c r="F13" i="11" s="1"/>
  <c r="J40" i="6" s="1"/>
  <c r="E15" i="11"/>
  <c r="F15" i="11" s="1"/>
  <c r="E17" i="11"/>
  <c r="F17" i="11" s="1"/>
  <c r="J3" i="6" s="1"/>
  <c r="E14" i="11"/>
  <c r="F14" i="11" s="1"/>
  <c r="J4" i="6" s="1"/>
  <c r="E18" i="11"/>
  <c r="F18" i="11" s="1"/>
  <c r="J29" i="6" s="1"/>
  <c r="E20" i="11"/>
  <c r="F20" i="11" s="1"/>
  <c r="E19" i="11"/>
  <c r="F19" i="11" s="1"/>
  <c r="J39" i="6" s="1"/>
  <c r="E7" i="11"/>
  <c r="F7" i="11" s="1"/>
  <c r="E23" i="11"/>
  <c r="F23" i="11" s="1"/>
  <c r="E6" i="11"/>
  <c r="E25" i="11"/>
  <c r="F25" i="11" s="1"/>
  <c r="E26" i="11"/>
  <c r="E27" i="11"/>
  <c r="F27" i="11" s="1"/>
  <c r="E30" i="11"/>
  <c r="E31" i="11"/>
  <c r="F31" i="11" s="1"/>
  <c r="E32" i="11"/>
  <c r="E34" i="11"/>
  <c r="F34" i="11" s="1"/>
  <c r="E37" i="11"/>
  <c r="F37" i="11" s="1"/>
  <c r="E39" i="11"/>
  <c r="F39" i="11" s="1"/>
  <c r="E40" i="11"/>
  <c r="F40" i="11" s="1"/>
  <c r="E41" i="11"/>
  <c r="F41" i="11" s="1"/>
  <c r="E42" i="11"/>
  <c r="F42" i="11" s="1"/>
  <c r="E43" i="11"/>
  <c r="F43" i="11" s="1"/>
  <c r="E44" i="11"/>
  <c r="F44" i="11" s="1"/>
  <c r="E45" i="11"/>
  <c r="F45" i="11" s="1"/>
  <c r="E46" i="11"/>
  <c r="F46" i="11" s="1"/>
  <c r="E48" i="11"/>
  <c r="F48" i="11" s="1"/>
  <c r="E49" i="11"/>
  <c r="F49" i="11" s="1"/>
  <c r="E51" i="11"/>
  <c r="F51" i="11" s="1"/>
  <c r="E52" i="11"/>
  <c r="F52" i="11" s="1"/>
  <c r="E53" i="11"/>
  <c r="F53" i="11" s="1"/>
  <c r="E54" i="11"/>
  <c r="E55" i="11"/>
  <c r="F55" i="11" s="1"/>
  <c r="E56" i="11"/>
  <c r="F56" i="11" s="1"/>
  <c r="E57" i="11"/>
  <c r="F57" i="11" s="1"/>
  <c r="E58" i="11"/>
  <c r="F58" i="11" s="1"/>
  <c r="E59" i="11"/>
  <c r="F59" i="11" s="1"/>
  <c r="E60" i="11"/>
  <c r="F60" i="11" s="1"/>
  <c r="E61" i="11"/>
  <c r="F61" i="11" s="1"/>
  <c r="E62" i="11"/>
  <c r="F62" i="11" s="1"/>
  <c r="E63" i="11"/>
  <c r="F63" i="11" s="1"/>
  <c r="E64" i="11"/>
  <c r="F64" i="11" s="1"/>
  <c r="E65" i="11"/>
  <c r="F65" i="11" s="1"/>
  <c r="E66" i="11"/>
  <c r="E67" i="11"/>
  <c r="F67" i="11" s="1"/>
  <c r="E68" i="11"/>
  <c r="F68" i="11" s="1"/>
  <c r="E80" i="11"/>
  <c r="F80" i="11" s="1"/>
  <c r="E69" i="11"/>
  <c r="F69" i="11" s="1"/>
  <c r="E70" i="11"/>
  <c r="F70" i="11" s="1"/>
  <c r="E71" i="11"/>
  <c r="F71" i="11" s="1"/>
  <c r="E74" i="11"/>
  <c r="E72" i="11"/>
  <c r="F72" i="11" s="1"/>
  <c r="E73" i="11"/>
  <c r="F73" i="11" s="1"/>
  <c r="E75" i="11"/>
  <c r="F75" i="11" s="1"/>
  <c r="E76" i="11"/>
  <c r="F76" i="11" s="1"/>
  <c r="E77" i="11"/>
  <c r="F77" i="11" s="1"/>
  <c r="E78" i="11"/>
  <c r="F78" i="11" s="1"/>
  <c r="E79" i="11"/>
  <c r="F79" i="11" s="1"/>
  <c r="E81" i="11"/>
  <c r="F81" i="11" s="1"/>
  <c r="E82" i="11"/>
  <c r="F82" i="11" s="1"/>
  <c r="E83" i="11"/>
  <c r="F83" i="11" s="1"/>
  <c r="E84" i="11"/>
  <c r="F84" i="11" s="1"/>
  <c r="E85" i="11"/>
  <c r="F85" i="11" s="1"/>
  <c r="E86" i="11"/>
  <c r="F86" i="11" s="1"/>
  <c r="E87" i="11"/>
  <c r="F87" i="11" s="1"/>
  <c r="E88" i="11"/>
  <c r="F88" i="11" s="1"/>
  <c r="E89" i="11"/>
  <c r="F89" i="11" s="1"/>
  <c r="E90" i="11"/>
  <c r="F90" i="11" s="1"/>
  <c r="E91" i="11"/>
  <c r="F91" i="11" s="1"/>
  <c r="E92" i="11"/>
  <c r="F92" i="11" s="1"/>
  <c r="E93" i="11"/>
  <c r="F93" i="11" s="1"/>
  <c r="E94" i="11"/>
  <c r="E95" i="11"/>
  <c r="F95" i="11" s="1"/>
  <c r="E98" i="11"/>
  <c r="F98" i="11" s="1"/>
  <c r="E99" i="11"/>
  <c r="E100" i="11"/>
  <c r="F100" i="11" s="1"/>
  <c r="E101" i="11"/>
  <c r="F101" i="11" s="1"/>
  <c r="E102" i="11"/>
  <c r="F102" i="11" s="1"/>
  <c r="E103" i="11"/>
  <c r="F103" i="11" s="1"/>
  <c r="E104" i="11"/>
  <c r="F104" i="11" s="1"/>
  <c r="E105" i="11"/>
  <c r="F105" i="11" s="1"/>
  <c r="E106" i="11"/>
  <c r="F106" i="11" s="1"/>
  <c r="E107" i="11"/>
  <c r="F107" i="11" s="1"/>
  <c r="E108" i="11"/>
  <c r="F108" i="11" s="1"/>
  <c r="E109" i="11"/>
  <c r="F109" i="11" s="1"/>
  <c r="E110" i="11"/>
  <c r="F110" i="11" s="1"/>
  <c r="E111" i="11"/>
  <c r="F1" i="5"/>
  <c r="G74" i="11"/>
  <c r="C10" i="12"/>
  <c r="F10" i="12"/>
  <c r="J10" i="12" s="1"/>
  <c r="D8" i="4"/>
  <c r="B11" i="2"/>
  <c r="D11" i="2"/>
  <c r="B7" i="2"/>
  <c r="D7" i="2"/>
  <c r="H6" i="3"/>
  <c r="F6" i="3"/>
  <c r="G6" i="3"/>
  <c r="F5" i="3"/>
  <c r="K6" i="3"/>
  <c r="G5" i="3"/>
  <c r="C5" i="3" s="1"/>
  <c r="D20" i="5" s="1"/>
  <c r="C10" i="3"/>
  <c r="J25" i="8"/>
  <c r="J12" i="8"/>
  <c r="C28" i="6"/>
  <c r="C21" i="6"/>
  <c r="C19" i="6"/>
  <c r="C20" i="6"/>
  <c r="C18" i="6"/>
  <c r="C17" i="6"/>
  <c r="C15" i="6"/>
  <c r="C16" i="6"/>
  <c r="C14" i="6"/>
  <c r="C13" i="6"/>
  <c r="C11" i="6"/>
  <c r="C12" i="6"/>
  <c r="C10" i="6"/>
  <c r="C9" i="6"/>
  <c r="C3" i="6"/>
  <c r="C4" i="6"/>
  <c r="C5" i="6"/>
  <c r="C6" i="6"/>
  <c r="C7" i="6"/>
  <c r="C8" i="6"/>
  <c r="E28" i="6"/>
  <c r="E21" i="6"/>
  <c r="E19" i="6"/>
  <c r="E20" i="6"/>
  <c r="E18" i="6"/>
  <c r="E17" i="6"/>
  <c r="E15" i="6"/>
  <c r="E16" i="6"/>
  <c r="E14" i="6"/>
  <c r="E13" i="6"/>
  <c r="E11" i="6"/>
  <c r="E12" i="6"/>
  <c r="E10" i="6"/>
  <c r="E9" i="6"/>
  <c r="E3" i="6"/>
  <c r="E4" i="6"/>
  <c r="E5" i="6"/>
  <c r="E6" i="6"/>
  <c r="E7" i="6"/>
  <c r="E8" i="6"/>
  <c r="O28" i="6"/>
  <c r="O21" i="6"/>
  <c r="O19" i="6"/>
  <c r="O20" i="6"/>
  <c r="O18" i="6"/>
  <c r="O17" i="6"/>
  <c r="O15" i="6"/>
  <c r="O16" i="6"/>
  <c r="O14" i="6"/>
  <c r="O13" i="6"/>
  <c r="O11" i="6"/>
  <c r="O12" i="6"/>
  <c r="O10" i="6"/>
  <c r="O9" i="6"/>
  <c r="O3" i="6"/>
  <c r="O4" i="6"/>
  <c r="O5" i="6"/>
  <c r="O6" i="6"/>
  <c r="O7" i="6"/>
  <c r="O8" i="6"/>
  <c r="G80" i="11"/>
  <c r="N2" i="12"/>
  <c r="N14" i="12"/>
  <c r="G14" i="12" s="1"/>
  <c r="N11" i="12"/>
  <c r="C7" i="12"/>
  <c r="C2" i="12"/>
  <c r="F7" i="12"/>
  <c r="F2" i="12"/>
  <c r="N9" i="12"/>
  <c r="G9" i="12" s="1"/>
  <c r="N16" i="12"/>
  <c r="B5" i="1"/>
  <c r="D5" i="1"/>
  <c r="C21" i="5" s="1"/>
  <c r="F6" i="12"/>
  <c r="F5" i="12"/>
  <c r="J5" i="12" s="1"/>
  <c r="F11" i="12"/>
  <c r="F16" i="12"/>
  <c r="H16" i="12" s="1"/>
  <c r="F8" i="12"/>
  <c r="J8" i="12" s="1"/>
  <c r="F3" i="12"/>
  <c r="F9" i="12"/>
  <c r="H9" i="12" s="1"/>
  <c r="F14" i="12"/>
  <c r="H14" i="12" s="1"/>
  <c r="F17" i="12"/>
  <c r="C14" i="12"/>
  <c r="C17" i="12"/>
  <c r="O36" i="6"/>
  <c r="O30" i="6"/>
  <c r="O22" i="6"/>
  <c r="O46" i="6"/>
  <c r="O35" i="6"/>
  <c r="O50" i="6"/>
  <c r="O29" i="6"/>
  <c r="O41" i="6"/>
  <c r="O45" i="6"/>
  <c r="O42" i="6"/>
  <c r="O34" i="6"/>
  <c r="O33" i="6"/>
  <c r="O31" i="6"/>
  <c r="O24" i="6"/>
  <c r="O53" i="6"/>
  <c r="O38" i="6"/>
  <c r="O40" i="6"/>
  <c r="O26" i="6"/>
  <c r="O49" i="6"/>
  <c r="O44" i="6"/>
  <c r="O51" i="6"/>
  <c r="O39" i="6"/>
  <c r="O32" i="6"/>
  <c r="O27" i="6"/>
  <c r="O43" i="6"/>
  <c r="O47" i="6"/>
  <c r="O48" i="6"/>
  <c r="O37" i="6"/>
  <c r="O23" i="6"/>
  <c r="O52" i="6"/>
  <c r="O25" i="6"/>
  <c r="C8" i="12"/>
  <c r="C3" i="12"/>
  <c r="C9" i="12"/>
  <c r="C16" i="12"/>
  <c r="C6" i="12"/>
  <c r="C11" i="12"/>
  <c r="C5" i="12"/>
  <c r="E11" i="7"/>
  <c r="D11" i="7"/>
  <c r="F5" i="7"/>
  <c r="H5" i="7"/>
  <c r="F6" i="7"/>
  <c r="H6" i="7"/>
  <c r="E7" i="7"/>
  <c r="F7" i="7" s="1"/>
  <c r="F8" i="7"/>
  <c r="H8" i="7"/>
  <c r="F10" i="7"/>
  <c r="H10" i="7"/>
  <c r="E12" i="7"/>
  <c r="H12" i="7" s="1"/>
  <c r="F13" i="7"/>
  <c r="H13" i="7"/>
  <c r="E14" i="7"/>
  <c r="H14" i="7" s="1"/>
  <c r="F4" i="7"/>
  <c r="H4" i="7"/>
  <c r="C25" i="6"/>
  <c r="E25" i="6"/>
  <c r="C31" i="6"/>
  <c r="C24" i="6"/>
  <c r="C53" i="6"/>
  <c r="C38" i="6"/>
  <c r="C27" i="6"/>
  <c r="C43" i="6"/>
  <c r="C47" i="6"/>
  <c r="C48" i="6"/>
  <c r="C37" i="6"/>
  <c r="C23" i="6"/>
  <c r="C52" i="6"/>
  <c r="C36" i="6"/>
  <c r="C30" i="6"/>
  <c r="C22" i="6"/>
  <c r="C46" i="6"/>
  <c r="C35" i="6"/>
  <c r="C50" i="6"/>
  <c r="C29" i="6"/>
  <c r="C41" i="6"/>
  <c r="C45" i="6"/>
  <c r="C34" i="6"/>
  <c r="C33" i="6"/>
  <c r="C40" i="6"/>
  <c r="C26" i="6"/>
  <c r="C49" i="6"/>
  <c r="C44" i="6"/>
  <c r="C51" i="6"/>
  <c r="C39" i="6"/>
  <c r="C32" i="6"/>
  <c r="E31" i="6"/>
  <c r="E24" i="6"/>
  <c r="E53" i="6"/>
  <c r="E38" i="6"/>
  <c r="E27" i="6"/>
  <c r="E43" i="6"/>
  <c r="E47" i="6"/>
  <c r="E48" i="6"/>
  <c r="E37" i="6"/>
  <c r="E23" i="6"/>
  <c r="E52" i="6"/>
  <c r="E36" i="6"/>
  <c r="E30" i="6"/>
  <c r="E22" i="6"/>
  <c r="E46" i="6"/>
  <c r="E35" i="6"/>
  <c r="E50" i="6"/>
  <c r="E29" i="6"/>
  <c r="E41" i="6"/>
  <c r="E45" i="6"/>
  <c r="E34" i="6"/>
  <c r="E33" i="6"/>
  <c r="E40" i="6"/>
  <c r="E26" i="6"/>
  <c r="E49" i="6"/>
  <c r="E44" i="6"/>
  <c r="E51" i="6"/>
  <c r="E39" i="6"/>
  <c r="E32" i="6"/>
  <c r="E42" i="6"/>
  <c r="C42" i="6"/>
  <c r="G100" i="11"/>
  <c r="G95" i="11"/>
  <c r="G49" i="11"/>
  <c r="G26" i="11"/>
  <c r="G62" i="11"/>
  <c r="G64" i="11"/>
  <c r="G27" i="11"/>
  <c r="G90" i="11"/>
  <c r="G94" i="11"/>
  <c r="G69" i="11"/>
  <c r="G70" i="11"/>
  <c r="G53" i="11"/>
  <c r="G73" i="11"/>
  <c r="G76" i="11"/>
  <c r="G77" i="11"/>
  <c r="G42" i="11"/>
  <c r="G92" i="11"/>
  <c r="G44" i="11"/>
  <c r="G87" i="11"/>
  <c r="G81" i="11"/>
  <c r="G82" i="11"/>
  <c r="G85" i="11"/>
  <c r="G88" i="11"/>
  <c r="G37" i="11"/>
  <c r="G39" i="11"/>
  <c r="G102" i="11"/>
  <c r="G99" i="11"/>
  <c r="G103" i="11"/>
  <c r="G61" i="11"/>
  <c r="G23" i="11"/>
  <c r="G25" i="11"/>
  <c r="G31" i="11"/>
  <c r="G32" i="11"/>
  <c r="G98" i="11"/>
  <c r="G34" i="11"/>
  <c r="G108" i="11"/>
  <c r="G109" i="11"/>
  <c r="G41" i="11"/>
  <c r="G86" i="11"/>
  <c r="G110" i="11"/>
  <c r="G45" i="11"/>
  <c r="G101" i="11"/>
  <c r="G89" i="11"/>
  <c r="G105" i="11"/>
  <c r="G52" i="11"/>
  <c r="G57" i="11"/>
  <c r="G60" i="11"/>
  <c r="G66" i="11"/>
  <c r="G67" i="11"/>
  <c r="G68" i="11"/>
  <c r="G79" i="11"/>
  <c r="G65" i="11"/>
  <c r="G71" i="11"/>
  <c r="G54" i="11"/>
  <c r="G56" i="11"/>
  <c r="G59" i="11"/>
  <c r="G40" i="11"/>
  <c r="G78" i="11"/>
  <c r="G104" i="11"/>
  <c r="G51" i="11"/>
  <c r="G106" i="11"/>
  <c r="G43" i="11"/>
  <c r="G107" i="11"/>
  <c r="G91" i="11"/>
  <c r="G93" i="11"/>
  <c r="G30" i="11"/>
  <c r="G55" i="11"/>
  <c r="G58" i="11"/>
  <c r="G46" i="11"/>
  <c r="G48" i="11"/>
  <c r="G63" i="11"/>
  <c r="G72" i="11"/>
  <c r="G75" i="11"/>
  <c r="G83" i="11"/>
  <c r="G84" i="11"/>
  <c r="G3" i="11"/>
  <c r="G4" i="11"/>
  <c r="G24" i="11"/>
  <c r="G6" i="11"/>
  <c r="G111" i="11"/>
  <c r="F10" i="8"/>
  <c r="E10" i="8"/>
  <c r="F9" i="8"/>
  <c r="E9" i="8"/>
  <c r="F2" i="8"/>
  <c r="E2" i="8"/>
  <c r="G5" i="11"/>
  <c r="J9" i="8"/>
  <c r="J10" i="8"/>
  <c r="J13" i="8"/>
  <c r="J14" i="8"/>
  <c r="J15" i="8"/>
  <c r="J16" i="8"/>
  <c r="J17" i="8"/>
  <c r="J19" i="8"/>
  <c r="J20" i="8"/>
  <c r="J21" i="8"/>
  <c r="J22" i="8"/>
  <c r="J23" i="8"/>
  <c r="J24" i="8"/>
  <c r="J26" i="8"/>
  <c r="J28" i="8"/>
  <c r="J29" i="8"/>
  <c r="J30" i="8"/>
  <c r="J31" i="8"/>
  <c r="J32" i="8"/>
  <c r="J33" i="8"/>
  <c r="J34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2" i="8"/>
  <c r="J3" i="8"/>
  <c r="B5" i="2"/>
  <c r="B6" i="2"/>
  <c r="F38" i="11" l="1"/>
  <c r="Q38" i="11"/>
  <c r="F47" i="11"/>
  <c r="Q47" i="11"/>
  <c r="J76" i="6"/>
  <c r="J78" i="6"/>
  <c r="K78" i="6" s="1"/>
  <c r="J79" i="6"/>
  <c r="J81" i="6"/>
  <c r="K81" i="6" s="1"/>
  <c r="L81" i="6" s="1"/>
  <c r="J75" i="6"/>
  <c r="K75" i="6" s="1"/>
  <c r="L75" i="6" s="1"/>
  <c r="J77" i="6"/>
  <c r="J80" i="6"/>
  <c r="J82" i="6"/>
  <c r="K82" i="6" s="1"/>
  <c r="L82" i="6" s="1"/>
  <c r="K79" i="6"/>
  <c r="L79" i="6" s="1"/>
  <c r="K77" i="6"/>
  <c r="L77" i="6" s="1"/>
  <c r="K76" i="6"/>
  <c r="L76" i="6" s="1"/>
  <c r="K80" i="6"/>
  <c r="L80" i="6" s="1"/>
  <c r="L78" i="6"/>
  <c r="D26" i="8"/>
  <c r="F26" i="8" s="1"/>
  <c r="G26" i="8" s="1"/>
  <c r="H26" i="8" s="1"/>
  <c r="E11" i="4"/>
  <c r="F11" i="4"/>
  <c r="G11" i="4"/>
  <c r="H11" i="4"/>
  <c r="I11" i="4"/>
  <c r="E25" i="5"/>
  <c r="D9" i="3"/>
  <c r="C9" i="3"/>
  <c r="D8" i="1"/>
  <c r="C25" i="5"/>
  <c r="Q29" i="11"/>
  <c r="F96" i="11"/>
  <c r="W96" i="11" s="1"/>
  <c r="Q96" i="11"/>
  <c r="F4" i="11"/>
  <c r="F50" i="11"/>
  <c r="W50" i="11" s="1"/>
  <c r="Q50" i="11"/>
  <c r="F26" i="11"/>
  <c r="G12" i="12"/>
  <c r="I12" i="12"/>
  <c r="G15" i="12"/>
  <c r="I15" i="12"/>
  <c r="G13" i="12"/>
  <c r="I13" i="12"/>
  <c r="F30" i="11"/>
  <c r="G4" i="12"/>
  <c r="I4" i="12"/>
  <c r="F28" i="11"/>
  <c r="W28" i="11" s="1"/>
  <c r="Q28" i="11"/>
  <c r="F97" i="11"/>
  <c r="W97" i="11" s="1"/>
  <c r="Q97" i="11"/>
  <c r="F33" i="11"/>
  <c r="W33" i="11" s="1"/>
  <c r="Q33" i="11"/>
  <c r="F35" i="11"/>
  <c r="W35" i="11" s="1"/>
  <c r="Q35" i="11"/>
  <c r="F36" i="11"/>
  <c r="W36" i="11" s="1"/>
  <c r="Q36" i="11"/>
  <c r="W21" i="11"/>
  <c r="J67" i="6"/>
  <c r="K67" i="6" s="1"/>
  <c r="L67" i="6" s="1"/>
  <c r="J49" i="6"/>
  <c r="J72" i="6"/>
  <c r="K72" i="6" s="1"/>
  <c r="L72" i="6" s="1"/>
  <c r="J19" i="6"/>
  <c r="J68" i="6"/>
  <c r="K68" i="6" s="1"/>
  <c r="L68" i="6" s="1"/>
  <c r="J38" i="6"/>
  <c r="J69" i="6"/>
  <c r="K69" i="6" s="1"/>
  <c r="L69" i="6" s="1"/>
  <c r="J31" i="6"/>
  <c r="J74" i="6"/>
  <c r="K74" i="6" s="1"/>
  <c r="L74" i="6" s="1"/>
  <c r="J44" i="6"/>
  <c r="J70" i="6"/>
  <c r="K70" i="6" s="1"/>
  <c r="L70" i="6" s="1"/>
  <c r="J48" i="6"/>
  <c r="J71" i="6"/>
  <c r="K71" i="6" s="1"/>
  <c r="L71" i="6" s="1"/>
  <c r="E10" i="4"/>
  <c r="F10" i="4"/>
  <c r="G10" i="4"/>
  <c r="H10" i="4"/>
  <c r="I10" i="4"/>
  <c r="O37" i="2"/>
  <c r="P37" i="2"/>
  <c r="P39" i="2"/>
  <c r="O39" i="2"/>
  <c r="P38" i="2"/>
  <c r="O38" i="2"/>
  <c r="D22" i="5"/>
  <c r="J56" i="6"/>
  <c r="K56" i="6" s="1"/>
  <c r="L56" i="6" s="1"/>
  <c r="J55" i="6"/>
  <c r="K55" i="6" s="1"/>
  <c r="L55" i="6" s="1"/>
  <c r="J66" i="6"/>
  <c r="K66" i="6" s="1"/>
  <c r="L66" i="6" s="1"/>
  <c r="J59" i="6"/>
  <c r="K59" i="6" s="1"/>
  <c r="L59" i="6" s="1"/>
  <c r="J54" i="6"/>
  <c r="K54" i="6" s="1"/>
  <c r="L54" i="6" s="1"/>
  <c r="J60" i="6"/>
  <c r="K60" i="6" s="1"/>
  <c r="L60" i="6" s="1"/>
  <c r="J58" i="6"/>
  <c r="K58" i="6" s="1"/>
  <c r="L58" i="6" s="1"/>
  <c r="J61" i="6"/>
  <c r="K61" i="6" s="1"/>
  <c r="L61" i="6" s="1"/>
  <c r="J57" i="6"/>
  <c r="K57" i="6" s="1"/>
  <c r="L57" i="6" s="1"/>
  <c r="J65" i="6"/>
  <c r="K65" i="6" s="1"/>
  <c r="L65" i="6" s="1"/>
  <c r="E9" i="4"/>
  <c r="I9" i="4"/>
  <c r="H9" i="4"/>
  <c r="G9" i="4"/>
  <c r="F9" i="4"/>
  <c r="D10" i="3"/>
  <c r="D7" i="3"/>
  <c r="O35" i="2"/>
  <c r="D23" i="5"/>
  <c r="U21" i="11"/>
  <c r="F24" i="11"/>
  <c r="F6" i="11"/>
  <c r="F3" i="11"/>
  <c r="U2" i="11"/>
  <c r="U23" i="11"/>
  <c r="U5" i="11"/>
  <c r="U3" i="11"/>
  <c r="U10" i="11"/>
  <c r="U9" i="11"/>
  <c r="U18" i="11"/>
  <c r="U16" i="11"/>
  <c r="U15" i="11"/>
  <c r="U4" i="11"/>
  <c r="U20" i="11"/>
  <c r="U14" i="11"/>
  <c r="U8" i="11"/>
  <c r="U6" i="11"/>
  <c r="U19" i="11"/>
  <c r="U13" i="11"/>
  <c r="U7" i="11"/>
  <c r="U12" i="11"/>
  <c r="U22" i="11"/>
  <c r="U24" i="11"/>
  <c r="U17" i="11"/>
  <c r="U11" i="11"/>
  <c r="U112" i="11"/>
  <c r="J8" i="6"/>
  <c r="J9" i="6"/>
  <c r="J45" i="6"/>
  <c r="J16" i="6"/>
  <c r="J51" i="6"/>
  <c r="J21" i="6"/>
  <c r="J23" i="6"/>
  <c r="J30" i="6"/>
  <c r="J7" i="6"/>
  <c r="J10" i="6"/>
  <c r="J15" i="6"/>
  <c r="J28" i="6"/>
  <c r="J22" i="6"/>
  <c r="J34" i="6"/>
  <c r="J53" i="6"/>
  <c r="K53" i="6" s="1"/>
  <c r="L53" i="6" s="1"/>
  <c r="J6" i="6"/>
  <c r="J12" i="6"/>
  <c r="J17" i="6"/>
  <c r="J27" i="6"/>
  <c r="J43" i="6"/>
  <c r="J52" i="6"/>
  <c r="J5" i="6"/>
  <c r="J11" i="6"/>
  <c r="J18" i="6"/>
  <c r="J33" i="6"/>
  <c r="J37" i="6"/>
  <c r="J42" i="6"/>
  <c r="J50" i="6"/>
  <c r="J13" i="6"/>
  <c r="J20" i="6"/>
  <c r="J25" i="6"/>
  <c r="K25" i="6" s="1"/>
  <c r="L25" i="6" s="1"/>
  <c r="J32" i="6"/>
  <c r="J36" i="6"/>
  <c r="J47" i="6"/>
  <c r="J14" i="6"/>
  <c r="J24" i="6"/>
  <c r="J35" i="6"/>
  <c r="J46" i="6"/>
  <c r="W92" i="11"/>
  <c r="F22" i="11"/>
  <c r="F2" i="11"/>
  <c r="F112" i="11"/>
  <c r="I20" i="2"/>
  <c r="O20" i="2" s="1"/>
  <c r="L40" i="2"/>
  <c r="I32" i="2"/>
  <c r="O32" i="2" s="1"/>
  <c r="P28" i="2"/>
  <c r="P21" i="2"/>
  <c r="P34" i="2"/>
  <c r="P26" i="2"/>
  <c r="P31" i="2"/>
  <c r="P36" i="2"/>
  <c r="P30" i="2"/>
  <c r="P24" i="2"/>
  <c r="P35" i="2"/>
  <c r="P22" i="2"/>
  <c r="P33" i="2"/>
  <c r="P27" i="2"/>
  <c r="C27" i="7"/>
  <c r="E22" i="5"/>
  <c r="D7" i="8"/>
  <c r="G22" i="11" s="1"/>
  <c r="Q22" i="11" s="1"/>
  <c r="D5" i="8"/>
  <c r="G112" i="11" s="1"/>
  <c r="Q112" i="11" s="1"/>
  <c r="L6" i="7" s="1"/>
  <c r="D6" i="8"/>
  <c r="G2" i="11" s="1"/>
  <c r="Q2" i="11" s="1"/>
  <c r="L7" i="7" s="1"/>
  <c r="C7" i="8"/>
  <c r="C6" i="8"/>
  <c r="C5" i="8"/>
  <c r="Q92" i="11"/>
  <c r="Q107" i="11"/>
  <c r="Q43" i="11"/>
  <c r="Q110" i="11"/>
  <c r="Q98" i="11"/>
  <c r="Q79" i="11"/>
  <c r="Q54" i="11"/>
  <c r="Q57" i="11"/>
  <c r="Q34" i="11"/>
  <c r="Q5" i="11"/>
  <c r="L9" i="7" s="1"/>
  <c r="Q60" i="11"/>
  <c r="Q40" i="11"/>
  <c r="Q83" i="11"/>
  <c r="Q76" i="11"/>
  <c r="Q70" i="11"/>
  <c r="Q39" i="11"/>
  <c r="Q88" i="11"/>
  <c r="Q75" i="11"/>
  <c r="Q58" i="11"/>
  <c r="Q86" i="11"/>
  <c r="Q72" i="11"/>
  <c r="Q56" i="11"/>
  <c r="Q3" i="11"/>
  <c r="L11" i="7" s="1"/>
  <c r="Q111" i="11"/>
  <c r="Q78" i="11"/>
  <c r="Q61" i="11"/>
  <c r="Q55" i="11"/>
  <c r="I14" i="12"/>
  <c r="H20" i="5"/>
  <c r="N10" i="12"/>
  <c r="H10" i="12"/>
  <c r="D7" i="4"/>
  <c r="I12" i="4"/>
  <c r="H12" i="4"/>
  <c r="G12" i="4"/>
  <c r="F12" i="4"/>
  <c r="E12" i="4"/>
  <c r="H22" i="5"/>
  <c r="H21" i="5"/>
  <c r="H11" i="7"/>
  <c r="C6" i="3"/>
  <c r="D21" i="5" s="1"/>
  <c r="I16" i="12"/>
  <c r="I9" i="12"/>
  <c r="Q80" i="11"/>
  <c r="N6" i="12"/>
  <c r="H7" i="12"/>
  <c r="H11" i="12"/>
  <c r="I11" i="12" s="1"/>
  <c r="H6" i="12"/>
  <c r="J9" i="12"/>
  <c r="J7" i="12"/>
  <c r="J3" i="12"/>
  <c r="J16" i="12"/>
  <c r="H3" i="12"/>
  <c r="N3" i="12"/>
  <c r="N8" i="12"/>
  <c r="J17" i="12"/>
  <c r="J11" i="12"/>
  <c r="J14" i="12"/>
  <c r="J2" i="12"/>
  <c r="J6" i="12"/>
  <c r="H8" i="12"/>
  <c r="N17" i="12"/>
  <c r="H17" i="12"/>
  <c r="H5" i="12"/>
  <c r="N7" i="12"/>
  <c r="F66" i="11" s="1"/>
  <c r="G2" i="12"/>
  <c r="H2" i="12"/>
  <c r="I2" i="12" s="1"/>
  <c r="N5" i="12"/>
  <c r="Q99" i="11"/>
  <c r="H7" i="7"/>
  <c r="F11" i="7"/>
  <c r="Q49" i="11"/>
  <c r="F7" i="4"/>
  <c r="H8" i="4"/>
  <c r="E8" i="4"/>
  <c r="H7" i="4"/>
  <c r="E7" i="4"/>
  <c r="G8" i="4"/>
  <c r="G7" i="4"/>
  <c r="I8" i="4"/>
  <c r="F8" i="4"/>
  <c r="I7" i="4"/>
  <c r="Q26" i="11"/>
  <c r="Q69" i="11"/>
  <c r="Q94" i="11"/>
  <c r="Q62" i="11"/>
  <c r="F14" i="7"/>
  <c r="F12" i="7"/>
  <c r="F9" i="7"/>
  <c r="H9" i="7"/>
  <c r="Q100" i="11"/>
  <c r="Q82" i="11"/>
  <c r="Q73" i="11"/>
  <c r="Q81" i="11"/>
  <c r="Q90" i="11"/>
  <c r="Q95" i="11"/>
  <c r="Q77" i="11"/>
  <c r="Q85" i="11"/>
  <c r="Q37" i="11"/>
  <c r="Q53" i="11"/>
  <c r="W100" i="11"/>
  <c r="Q27" i="11"/>
  <c r="Q103" i="11"/>
  <c r="Q64" i="11"/>
  <c r="G10" i="8"/>
  <c r="H10" i="8" s="1"/>
  <c r="Q23" i="11"/>
  <c r="G2" i="8"/>
  <c r="H2" i="8" s="1"/>
  <c r="G9" i="8"/>
  <c r="H9" i="8" s="1"/>
  <c r="Q4" i="11"/>
  <c r="L10" i="7" s="1"/>
  <c r="Q93" i="11"/>
  <c r="Q66" i="11"/>
  <c r="G16" i="12"/>
  <c r="G11" i="12"/>
  <c r="Q32" i="11"/>
  <c r="Q25" i="11"/>
  <c r="Q48" i="11"/>
  <c r="D18" i="12"/>
  <c r="Q51" i="11"/>
  <c r="Q59" i="11"/>
  <c r="Q68" i="11"/>
  <c r="Q71" i="11"/>
  <c r="Q105" i="11"/>
  <c r="Q63" i="11"/>
  <c r="Q52" i="11"/>
  <c r="Q30" i="11"/>
  <c r="Q65" i="11"/>
  <c r="Q108" i="11"/>
  <c r="Q109" i="11"/>
  <c r="Q46" i="11"/>
  <c r="Q106" i="11"/>
  <c r="Q84" i="11"/>
  <c r="Q91" i="11"/>
  <c r="Q104" i="11"/>
  <c r="Q67" i="11"/>
  <c r="Q41" i="11"/>
  <c r="H24" i="5" l="1"/>
  <c r="W38" i="11"/>
  <c r="J62" i="6"/>
  <c r="K62" i="6" s="1"/>
  <c r="L62" i="6" s="1"/>
  <c r="W47" i="11"/>
  <c r="O47" i="11" s="1"/>
  <c r="P47" i="11" s="1"/>
  <c r="J73" i="6"/>
  <c r="K73" i="6" s="1"/>
  <c r="L73" i="6" s="1"/>
  <c r="O50" i="11"/>
  <c r="P50" i="11" s="1"/>
  <c r="O29" i="11"/>
  <c r="P29" i="11" s="1"/>
  <c r="O96" i="11"/>
  <c r="P96" i="11" s="1"/>
  <c r="J85" i="6"/>
  <c r="K85" i="6" s="1"/>
  <c r="L85" i="6" s="1"/>
  <c r="J84" i="6"/>
  <c r="K84" i="6" s="1"/>
  <c r="L84" i="6" s="1"/>
  <c r="J83" i="6"/>
  <c r="K83" i="6" s="1"/>
  <c r="L83" i="6" s="1"/>
  <c r="C11" i="4"/>
  <c r="O28" i="11"/>
  <c r="P28" i="11" s="1"/>
  <c r="D25" i="5"/>
  <c r="C28" i="7"/>
  <c r="H5" i="5"/>
  <c r="O35" i="11"/>
  <c r="P35" i="11" s="1"/>
  <c r="J64" i="6"/>
  <c r="K64" i="6" s="1"/>
  <c r="L64" i="6" s="1"/>
  <c r="J63" i="6"/>
  <c r="K63" i="6" s="1"/>
  <c r="L63" i="6" s="1"/>
  <c r="O97" i="11"/>
  <c r="P97" i="11" s="1"/>
  <c r="O33" i="11"/>
  <c r="P33" i="11" s="1"/>
  <c r="O36" i="11"/>
  <c r="P36" i="11" s="1"/>
  <c r="I21" i="11"/>
  <c r="G10" i="12"/>
  <c r="F74" i="11"/>
  <c r="G6" i="12"/>
  <c r="F94" i="11"/>
  <c r="G3" i="12"/>
  <c r="F54" i="11"/>
  <c r="G8" i="12"/>
  <c r="F32" i="11"/>
  <c r="G17" i="12"/>
  <c r="F111" i="11"/>
  <c r="G5" i="12"/>
  <c r="F99" i="11"/>
  <c r="D14" i="4"/>
  <c r="C10" i="4"/>
  <c r="C9" i="4"/>
  <c r="L8" i="7"/>
  <c r="E14" i="5" s="1"/>
  <c r="I14" i="4"/>
  <c r="H14" i="4"/>
  <c r="E14" i="4"/>
  <c r="G14" i="4"/>
  <c r="F14" i="4"/>
  <c r="P20" i="2"/>
  <c r="P32" i="2"/>
  <c r="F14" i="5"/>
  <c r="W112" i="11"/>
  <c r="I112" i="11" s="1"/>
  <c r="J112" i="11" s="1"/>
  <c r="W22" i="11"/>
  <c r="I22" i="11" s="1"/>
  <c r="J22" i="11" s="1"/>
  <c r="W2" i="11"/>
  <c r="I2" i="11" s="1"/>
  <c r="J2" i="11" s="1"/>
  <c r="E113" i="11"/>
  <c r="Q74" i="11"/>
  <c r="Q45" i="11"/>
  <c r="Q89" i="11"/>
  <c r="Q44" i="11"/>
  <c r="Q6" i="11"/>
  <c r="L14" i="7" s="1"/>
  <c r="Q101" i="11"/>
  <c r="Q42" i="11"/>
  <c r="Q31" i="11"/>
  <c r="Q24" i="11"/>
  <c r="Q87" i="11"/>
  <c r="Q102" i="11"/>
  <c r="O100" i="11"/>
  <c r="P100" i="11" s="1"/>
  <c r="I10" i="12"/>
  <c r="I17" i="12"/>
  <c r="C12" i="4"/>
  <c r="I3" i="12"/>
  <c r="I6" i="12"/>
  <c r="I5" i="12"/>
  <c r="I8" i="12"/>
  <c r="I7" i="12"/>
  <c r="G7" i="12"/>
  <c r="C8" i="4"/>
  <c r="F21" i="5" s="1"/>
  <c r="H25" i="5" l="1"/>
  <c r="C29" i="7"/>
  <c r="C30" i="7" s="1"/>
  <c r="C31" i="7" s="1"/>
  <c r="C32" i="7" s="1"/>
  <c r="C33" i="7" s="1"/>
  <c r="C34" i="7" s="1"/>
  <c r="C35" i="7" s="1"/>
  <c r="C36" i="7" s="1"/>
  <c r="O38" i="11"/>
  <c r="P38" i="11" s="1"/>
  <c r="F25" i="5"/>
  <c r="G25" i="5" s="1"/>
  <c r="D26" i="5"/>
  <c r="D27" i="5"/>
  <c r="D4" i="5" s="1"/>
  <c r="B12" i="5"/>
  <c r="F22" i="5"/>
  <c r="G22" i="5" s="1"/>
  <c r="F23" i="5"/>
  <c r="G23" i="5" s="1"/>
  <c r="L4" i="7"/>
  <c r="L12" i="7"/>
  <c r="D14" i="5" s="1"/>
  <c r="D12" i="5"/>
  <c r="H14" i="5"/>
  <c r="O2" i="11"/>
  <c r="P2" i="11" s="1"/>
  <c r="O112" i="11"/>
  <c r="P112" i="11" s="1"/>
  <c r="O22" i="11"/>
  <c r="P22" i="11" s="1"/>
  <c r="W39" i="11"/>
  <c r="W89" i="11"/>
  <c r="W103" i="11"/>
  <c r="W99" i="11"/>
  <c r="W40" i="11"/>
  <c r="W61" i="11"/>
  <c r="W102" i="11"/>
  <c r="W48" i="11"/>
  <c r="O39" i="11" l="1"/>
  <c r="P39" i="11" s="1"/>
  <c r="O48" i="11"/>
  <c r="P48" i="11" s="1"/>
  <c r="O40" i="11"/>
  <c r="P40" i="11" s="1"/>
  <c r="O103" i="11"/>
  <c r="P103" i="11" s="1"/>
  <c r="J103" i="11" s="1"/>
  <c r="O99" i="11"/>
  <c r="P99" i="11" s="1"/>
  <c r="O102" i="11"/>
  <c r="P102" i="11" s="1"/>
  <c r="O89" i="11"/>
  <c r="P89" i="11" s="1"/>
  <c r="O61" i="11"/>
  <c r="P61" i="11" s="1"/>
  <c r="D5" i="2" l="1"/>
  <c r="D6" i="2"/>
  <c r="D4" i="1"/>
  <c r="C20" i="5" s="1"/>
  <c r="E13" i="2"/>
  <c r="F13" i="2"/>
  <c r="H13" i="2"/>
  <c r="I13" i="2"/>
  <c r="K13" i="2"/>
  <c r="L13" i="2"/>
  <c r="M13" i="2"/>
  <c r="N13" i="2"/>
  <c r="O13" i="2"/>
  <c r="P13" i="2"/>
  <c r="E12" i="3"/>
  <c r="F12" i="3"/>
  <c r="G12" i="3"/>
  <c r="H12" i="3"/>
  <c r="I12" i="3"/>
  <c r="J12" i="3"/>
  <c r="K12" i="3"/>
  <c r="L12" i="3"/>
  <c r="E11" i="1"/>
  <c r="F11" i="1"/>
  <c r="G11" i="1"/>
  <c r="H11" i="1"/>
  <c r="I11" i="1"/>
  <c r="J11" i="1"/>
  <c r="K11" i="1"/>
  <c r="L11" i="1"/>
  <c r="M11" i="1"/>
  <c r="N11" i="1"/>
  <c r="O11" i="1"/>
  <c r="F11" i="3"/>
  <c r="G11" i="3"/>
  <c r="H11" i="3"/>
  <c r="I11" i="3"/>
  <c r="J11" i="3"/>
  <c r="K11" i="3"/>
  <c r="L11" i="3"/>
  <c r="E11" i="3"/>
  <c r="L2" i="3"/>
  <c r="L3" i="3" s="1"/>
  <c r="K3" i="3"/>
  <c r="J3" i="3"/>
  <c r="I3" i="3"/>
  <c r="H3" i="3"/>
  <c r="G3" i="3"/>
  <c r="F2" i="3"/>
  <c r="F3" i="3" s="1"/>
  <c r="E2" i="3"/>
  <c r="C12" i="3"/>
  <c r="O12" i="2"/>
  <c r="O3" i="2" s="1"/>
  <c r="D15" i="7"/>
  <c r="D5" i="3" l="1"/>
  <c r="E20" i="5"/>
  <c r="E21" i="5"/>
  <c r="G21" i="5" s="1"/>
  <c r="C27" i="5"/>
  <c r="C26" i="5"/>
  <c r="D6" i="3"/>
  <c r="D11" i="1"/>
  <c r="G12" i="7"/>
  <c r="G5" i="7"/>
  <c r="G13" i="7"/>
  <c r="G6" i="7"/>
  <c r="G10" i="7"/>
  <c r="G14" i="7"/>
  <c r="G7" i="7"/>
  <c r="G11" i="7"/>
  <c r="G4" i="7"/>
  <c r="G15" i="7" s="1"/>
  <c r="G8" i="7"/>
  <c r="G9" i="7"/>
  <c r="D10" i="1"/>
  <c r="C2" i="3"/>
  <c r="E3" i="3"/>
  <c r="C11" i="3"/>
  <c r="F15" i="7"/>
  <c r="D3" i="5" l="1"/>
  <c r="D11" i="5"/>
  <c r="H11" i="5"/>
  <c r="B11" i="5"/>
  <c r="F11" i="5"/>
  <c r="D11" i="3"/>
  <c r="E26" i="5"/>
  <c r="E27" i="5"/>
  <c r="D5" i="5" s="1"/>
  <c r="D12" i="3"/>
  <c r="C3" i="3"/>
  <c r="H15" i="7"/>
  <c r="E15" i="7" l="1"/>
  <c r="I2" i="2"/>
  <c r="C7" i="4"/>
  <c r="F20" i="5" s="1"/>
  <c r="K3" i="4"/>
  <c r="J3" i="4"/>
  <c r="B4" i="1"/>
  <c r="J2" i="4"/>
  <c r="F2" i="4"/>
  <c r="D2" i="4"/>
  <c r="K31" i="2"/>
  <c r="K30" i="2"/>
  <c r="K29" i="2"/>
  <c r="K28" i="2"/>
  <c r="O28" i="2" s="1"/>
  <c r="N13" i="4"/>
  <c r="I13" i="7" s="1"/>
  <c r="K13" i="7" s="1"/>
  <c r="M13" i="4"/>
  <c r="I14" i="7" s="1"/>
  <c r="K14" i="7" s="1"/>
  <c r="M14" i="7" s="1"/>
  <c r="N14" i="7" s="1"/>
  <c r="L13" i="4"/>
  <c r="I6" i="7" s="1"/>
  <c r="K6" i="7" s="1"/>
  <c r="K13" i="4"/>
  <c r="I8" i="7" s="1"/>
  <c r="K8" i="7" s="1"/>
  <c r="J13" i="4"/>
  <c r="I7" i="7" s="1"/>
  <c r="K7" i="7" s="1"/>
  <c r="M7" i="7" s="1"/>
  <c r="N7" i="7" s="1"/>
  <c r="I13" i="4"/>
  <c r="I12" i="7" s="1"/>
  <c r="K12" i="7" s="1"/>
  <c r="M12" i="7" s="1"/>
  <c r="N12" i="7" s="1"/>
  <c r="H13" i="4"/>
  <c r="I11" i="7" s="1"/>
  <c r="K11" i="7" s="1"/>
  <c r="M11" i="7" s="1"/>
  <c r="N11" i="7" s="1"/>
  <c r="G13" i="4"/>
  <c r="I10" i="7" s="1"/>
  <c r="K10" i="7" s="1"/>
  <c r="M10" i="7" s="1"/>
  <c r="N10" i="7" s="1"/>
  <c r="F13" i="4"/>
  <c r="I9" i="7" s="1"/>
  <c r="K9" i="7" s="1"/>
  <c r="E13" i="4"/>
  <c r="I5" i="7" s="1"/>
  <c r="K5" i="7" s="1"/>
  <c r="D13" i="4"/>
  <c r="I4" i="7" s="1"/>
  <c r="K4" i="7" s="1"/>
  <c r="O10" i="1"/>
  <c r="N10" i="1"/>
  <c r="M10" i="1"/>
  <c r="L10" i="1"/>
  <c r="K10" i="1"/>
  <c r="J10" i="1"/>
  <c r="I10" i="1"/>
  <c r="H10" i="1"/>
  <c r="G10" i="1"/>
  <c r="F10" i="1"/>
  <c r="E10" i="1"/>
  <c r="C3" i="4"/>
  <c r="C4" i="4" s="1"/>
  <c r="P12" i="2"/>
  <c r="P3" i="2" s="1"/>
  <c r="N12" i="2"/>
  <c r="N3" i="2" s="1"/>
  <c r="M12" i="2"/>
  <c r="M3" i="2" s="1"/>
  <c r="L12" i="2"/>
  <c r="L3" i="2" s="1"/>
  <c r="K12" i="2"/>
  <c r="K3" i="2" s="1"/>
  <c r="H12" i="2"/>
  <c r="H3" i="2" s="1"/>
  <c r="F12" i="2"/>
  <c r="F3" i="2" s="1"/>
  <c r="E12" i="2"/>
  <c r="E3" i="2" s="1"/>
  <c r="M29" i="2" l="1"/>
  <c r="O29" i="2"/>
  <c r="P29" i="2"/>
  <c r="Q28" i="2" s="1"/>
  <c r="M30" i="2"/>
  <c r="O30" i="2"/>
  <c r="M31" i="2"/>
  <c r="O31" i="2"/>
  <c r="B13" i="5"/>
  <c r="E13" i="5"/>
  <c r="M8" i="7"/>
  <c r="F13" i="5"/>
  <c r="M6" i="7"/>
  <c r="H13" i="5"/>
  <c r="M13" i="7"/>
  <c r="D13" i="5"/>
  <c r="K15" i="7"/>
  <c r="M9" i="7"/>
  <c r="D15" i="5" s="1"/>
  <c r="M4" i="7"/>
  <c r="F26" i="5"/>
  <c r="F27" i="5"/>
  <c r="H3" i="5" s="1"/>
  <c r="I15" i="7"/>
  <c r="C13" i="4"/>
  <c r="G20" i="5"/>
  <c r="C14" i="4"/>
  <c r="D13" i="2"/>
  <c r="L2" i="4"/>
  <c r="E2" i="4"/>
  <c r="I2" i="4"/>
  <c r="I12" i="2"/>
  <c r="D12" i="2"/>
  <c r="G20" i="11"/>
  <c r="Q20" i="11" s="1"/>
  <c r="G21" i="11"/>
  <c r="M34" i="2"/>
  <c r="M32" i="2"/>
  <c r="M33" i="2"/>
  <c r="M24" i="2"/>
  <c r="M26" i="2"/>
  <c r="M27" i="2"/>
  <c r="M28" i="2"/>
  <c r="M22" i="2"/>
  <c r="M21" i="2"/>
  <c r="K25" i="2"/>
  <c r="Q21" i="11" l="1"/>
  <c r="O21" i="11" s="1"/>
  <c r="P21" i="11" s="1"/>
  <c r="J21" i="11"/>
  <c r="L21" i="11"/>
  <c r="M21" i="11"/>
  <c r="N21" i="11"/>
  <c r="O25" i="2"/>
  <c r="P25" i="2"/>
  <c r="M23" i="2"/>
  <c r="K40" i="2"/>
  <c r="P23" i="2"/>
  <c r="O23" i="2"/>
  <c r="G3" i="4"/>
  <c r="I3" i="4"/>
  <c r="D3" i="4"/>
  <c r="E3" i="4"/>
  <c r="H15" i="5"/>
  <c r="N13" i="7"/>
  <c r="H16" i="5" s="1"/>
  <c r="N6" i="7"/>
  <c r="F16" i="5" s="1"/>
  <c r="F15" i="5"/>
  <c r="E15" i="5"/>
  <c r="N8" i="7"/>
  <c r="E16" i="5" s="1"/>
  <c r="N4" i="7"/>
  <c r="N9" i="7"/>
  <c r="D16" i="5" s="1"/>
  <c r="G27" i="5"/>
  <c r="H4" i="5" s="1"/>
  <c r="G26" i="5"/>
  <c r="I3" i="2"/>
  <c r="J3" i="2"/>
  <c r="G19" i="11"/>
  <c r="Q19" i="11" s="1"/>
  <c r="G10" i="11"/>
  <c r="G14" i="11"/>
  <c r="G15" i="11"/>
  <c r="G11" i="11"/>
  <c r="G13" i="11"/>
  <c r="Q13" i="11" s="1"/>
  <c r="G17" i="11"/>
  <c r="G18" i="11"/>
  <c r="G7" i="11"/>
  <c r="G9" i="11"/>
  <c r="G16" i="11"/>
  <c r="Q16" i="11" s="1"/>
  <c r="G8" i="11"/>
  <c r="Q8" i="11" s="1"/>
  <c r="J7" i="7"/>
  <c r="J11" i="7"/>
  <c r="J4" i="7"/>
  <c r="J8" i="7"/>
  <c r="J6" i="7"/>
  <c r="J9" i="7"/>
  <c r="J14" i="7"/>
  <c r="J5" i="7"/>
  <c r="J10" i="7"/>
  <c r="J12" i="7"/>
  <c r="J13" i="7"/>
  <c r="Q19" i="8"/>
  <c r="H3" i="4"/>
  <c r="F3" i="4"/>
  <c r="M25" i="2"/>
  <c r="M40" i="2" l="1"/>
  <c r="O40" i="2"/>
  <c r="P40" i="2"/>
  <c r="W19" i="11"/>
  <c r="O19" i="11" s="1"/>
  <c r="P19" i="11" s="1"/>
  <c r="W8" i="11"/>
  <c r="I8" i="11" s="1"/>
  <c r="J8" i="11" s="1"/>
  <c r="W10" i="11"/>
  <c r="I10" i="11" s="1"/>
  <c r="W13" i="11"/>
  <c r="I13" i="11" s="1"/>
  <c r="W11" i="11"/>
  <c r="I11" i="11" s="1"/>
  <c r="Q11" i="11"/>
  <c r="K7" i="6"/>
  <c r="L7" i="6" s="1"/>
  <c r="K16" i="6"/>
  <c r="L16" i="6" s="1"/>
  <c r="K23" i="6"/>
  <c r="L23" i="6" s="1"/>
  <c r="K20" i="6"/>
  <c r="L20" i="6" s="1"/>
  <c r="K5" i="6"/>
  <c r="L5" i="6" s="1"/>
  <c r="K12" i="6"/>
  <c r="L12" i="6" s="1"/>
  <c r="K15" i="6"/>
  <c r="L15" i="6" s="1"/>
  <c r="Q9" i="11"/>
  <c r="K6" i="6"/>
  <c r="L6" i="6" s="1"/>
  <c r="Q18" i="11"/>
  <c r="K9" i="6"/>
  <c r="L9" i="6" s="1"/>
  <c r="K48" i="6"/>
  <c r="L48" i="6" s="1"/>
  <c r="K4" i="6"/>
  <c r="L4" i="6" s="1"/>
  <c r="K39" i="6"/>
  <c r="L39" i="6" s="1"/>
  <c r="K14" i="6"/>
  <c r="L14" i="6" s="1"/>
  <c r="K17" i="6"/>
  <c r="L17" i="6" s="1"/>
  <c r="K28" i="6"/>
  <c r="L28" i="6" s="1"/>
  <c r="K10" i="6"/>
  <c r="L10" i="6" s="1"/>
  <c r="K21" i="6"/>
  <c r="L21" i="6" s="1"/>
  <c r="K8" i="6"/>
  <c r="L8" i="6" s="1"/>
  <c r="K52" i="6"/>
  <c r="L52" i="6" s="1"/>
  <c r="Q10" i="11"/>
  <c r="K19" i="6"/>
  <c r="L19" i="6" s="1"/>
  <c r="K11" i="6"/>
  <c r="L11" i="6" s="1"/>
  <c r="K46" i="6"/>
  <c r="L46" i="6" s="1"/>
  <c r="K3" i="6"/>
  <c r="L3" i="6" s="1"/>
  <c r="K13" i="6"/>
  <c r="L13" i="6" s="1"/>
  <c r="K18" i="6"/>
  <c r="L18" i="6" s="1"/>
  <c r="D3" i="2"/>
  <c r="D3" i="3" s="1"/>
  <c r="D2" i="3" s="1"/>
  <c r="N18" i="12"/>
  <c r="L12" i="12" s="1"/>
  <c r="E18" i="12"/>
  <c r="Q7" i="11"/>
  <c r="K44" i="6"/>
  <c r="L44" i="6" s="1"/>
  <c r="Q14" i="11"/>
  <c r="K35" i="6"/>
  <c r="L35" i="6" s="1"/>
  <c r="K40" i="6"/>
  <c r="L40" i="6" s="1"/>
  <c r="K30" i="6"/>
  <c r="L30" i="6" s="1"/>
  <c r="K31" i="6"/>
  <c r="L31" i="6" s="1"/>
  <c r="K29" i="6"/>
  <c r="L29" i="6" s="1"/>
  <c r="K34" i="6"/>
  <c r="L34" i="6" s="1"/>
  <c r="K32" i="6"/>
  <c r="L32" i="6" s="1"/>
  <c r="K26" i="6"/>
  <c r="L26" i="6" s="1"/>
  <c r="K45" i="6"/>
  <c r="L45" i="6" s="1"/>
  <c r="K33" i="6"/>
  <c r="L33" i="6" s="1"/>
  <c r="K41" i="6"/>
  <c r="L41" i="6" s="1"/>
  <c r="K43" i="6"/>
  <c r="L43" i="6" s="1"/>
  <c r="K49" i="6"/>
  <c r="L49" i="6" s="1"/>
  <c r="K50" i="6"/>
  <c r="L50" i="6" s="1"/>
  <c r="K47" i="6"/>
  <c r="L47" i="6" s="1"/>
  <c r="K42" i="6"/>
  <c r="L42" i="6" s="1"/>
  <c r="K36" i="6"/>
  <c r="L36" i="6" s="1"/>
  <c r="K38" i="6"/>
  <c r="L38" i="6" s="1"/>
  <c r="K51" i="6"/>
  <c r="L51" i="6" s="1"/>
  <c r="K27" i="6"/>
  <c r="L27" i="6" s="1"/>
  <c r="K37" i="6"/>
  <c r="L37" i="6" s="1"/>
  <c r="K22" i="6"/>
  <c r="L22" i="6" s="1"/>
  <c r="Q15" i="11"/>
  <c r="Q17" i="11"/>
  <c r="K24" i="6"/>
  <c r="L24" i="6" s="1"/>
  <c r="J15" i="7"/>
  <c r="G12" i="11"/>
  <c r="L13" i="12" l="1"/>
  <c r="L15" i="12"/>
  <c r="L4" i="12"/>
  <c r="M10" i="11"/>
  <c r="N10" i="11"/>
  <c r="M11" i="11"/>
  <c r="N11" i="11"/>
  <c r="M13" i="11"/>
  <c r="N13" i="11"/>
  <c r="J11" i="11"/>
  <c r="L11" i="11"/>
  <c r="J13" i="11"/>
  <c r="L13" i="11"/>
  <c r="J10" i="11"/>
  <c r="L10" i="11"/>
  <c r="I19" i="11"/>
  <c r="J19" i="11" s="1"/>
  <c r="W9" i="11"/>
  <c r="I9" i="11" s="1"/>
  <c r="J9" i="11" s="1"/>
  <c r="O13" i="11"/>
  <c r="P13" i="11" s="1"/>
  <c r="W7" i="11"/>
  <c r="I7" i="11" s="1"/>
  <c r="O8" i="11"/>
  <c r="P8" i="11" s="1"/>
  <c r="W15" i="11"/>
  <c r="I15" i="11" s="1"/>
  <c r="W17" i="11"/>
  <c r="I17" i="11" s="1"/>
  <c r="N17" i="11" s="1"/>
  <c r="W14" i="11"/>
  <c r="O14" i="11" s="1"/>
  <c r="P14" i="11" s="1"/>
  <c r="O10" i="11"/>
  <c r="P10" i="11" s="1"/>
  <c r="W56" i="11"/>
  <c r="W5" i="11"/>
  <c r="W87" i="11"/>
  <c r="W76" i="11"/>
  <c r="W88" i="11"/>
  <c r="W3" i="11"/>
  <c r="W32" i="11"/>
  <c r="W23" i="11"/>
  <c r="W20" i="11"/>
  <c r="W90" i="11"/>
  <c r="W108" i="11"/>
  <c r="W25" i="11"/>
  <c r="W18" i="11"/>
  <c r="I18" i="11" s="1"/>
  <c r="J18" i="11" s="1"/>
  <c r="F113" i="11"/>
  <c r="O11" i="11"/>
  <c r="P11" i="11" s="1"/>
  <c r="W93" i="11"/>
  <c r="W109" i="11"/>
  <c r="W78" i="11"/>
  <c r="W31" i="11"/>
  <c r="W46" i="11"/>
  <c r="W12" i="11"/>
  <c r="I12" i="11" s="1"/>
  <c r="J12" i="11" s="1"/>
  <c r="W72" i="11"/>
  <c r="W94" i="11"/>
  <c r="W73" i="11"/>
  <c r="W91" i="11"/>
  <c r="W107" i="11"/>
  <c r="W64" i="11"/>
  <c r="W65" i="11"/>
  <c r="W27" i="11"/>
  <c r="W16" i="11"/>
  <c r="O16" i="11" s="1"/>
  <c r="P16" i="11" s="1"/>
  <c r="W37" i="11"/>
  <c r="W80" i="11"/>
  <c r="W70" i="11"/>
  <c r="W45" i="11"/>
  <c r="W84" i="11"/>
  <c r="W42" i="11"/>
  <c r="W82" i="11"/>
  <c r="W4" i="11"/>
  <c r="W77" i="11"/>
  <c r="W110" i="11"/>
  <c r="W85" i="11"/>
  <c r="W105" i="11"/>
  <c r="W98" i="11"/>
  <c r="W81" i="11"/>
  <c r="W43" i="11"/>
  <c r="W95" i="11"/>
  <c r="W67" i="11"/>
  <c r="W66" i="11"/>
  <c r="W83" i="11"/>
  <c r="W6" i="11"/>
  <c r="W24" i="11"/>
  <c r="W57" i="11"/>
  <c r="W75" i="11"/>
  <c r="W79" i="11"/>
  <c r="W104" i="11"/>
  <c r="W101" i="11"/>
  <c r="W60" i="11"/>
  <c r="W53" i="11"/>
  <c r="W52" i="11"/>
  <c r="W111" i="11"/>
  <c r="W59" i="11"/>
  <c r="W44" i="11"/>
  <c r="W74" i="11"/>
  <c r="W63" i="11"/>
  <c r="W41" i="11"/>
  <c r="W26" i="11"/>
  <c r="W62" i="11"/>
  <c r="W58" i="11"/>
  <c r="W55" i="11"/>
  <c r="W34" i="11"/>
  <c r="W86" i="11"/>
  <c r="W51" i="11"/>
  <c r="W71" i="11"/>
  <c r="W30" i="11"/>
  <c r="W68" i="11"/>
  <c r="W49" i="11"/>
  <c r="W54" i="11"/>
  <c r="W69" i="11"/>
  <c r="W106" i="11"/>
  <c r="J18" i="12"/>
  <c r="L10" i="12"/>
  <c r="I18" i="12"/>
  <c r="H18" i="12"/>
  <c r="L2" i="12"/>
  <c r="L8" i="12"/>
  <c r="L6" i="12"/>
  <c r="L16" i="12"/>
  <c r="L5" i="12"/>
  <c r="L7" i="12"/>
  <c r="L3" i="12"/>
  <c r="L14" i="12"/>
  <c r="L17" i="12"/>
  <c r="L11" i="12"/>
  <c r="L9" i="12"/>
  <c r="Q12" i="11"/>
  <c r="C18" i="7" l="1"/>
  <c r="M15" i="11"/>
  <c r="N15" i="11"/>
  <c r="M7" i="11"/>
  <c r="N7" i="11"/>
  <c r="M17" i="11"/>
  <c r="L17" i="11"/>
  <c r="J15" i="11"/>
  <c r="L15" i="11"/>
  <c r="J7" i="11"/>
  <c r="L7" i="11"/>
  <c r="J17" i="11"/>
  <c r="L5" i="7"/>
  <c r="B14" i="5" s="1"/>
  <c r="O17" i="11"/>
  <c r="P17" i="11" s="1"/>
  <c r="O7" i="11"/>
  <c r="P7" i="11" s="1"/>
  <c r="O9" i="11"/>
  <c r="P9" i="11" s="1"/>
  <c r="I14" i="11"/>
  <c r="N14" i="11" s="1"/>
  <c r="O15" i="11"/>
  <c r="P15" i="11" s="1"/>
  <c r="O18" i="11"/>
  <c r="P18" i="11" s="1"/>
  <c r="O95" i="11"/>
  <c r="P95" i="11" s="1"/>
  <c r="O25" i="11"/>
  <c r="P25" i="11" s="1"/>
  <c r="O20" i="11"/>
  <c r="P20" i="11" s="1"/>
  <c r="I20" i="11"/>
  <c r="O3" i="11"/>
  <c r="P3" i="11" s="1"/>
  <c r="I3" i="11"/>
  <c r="J3" i="11" s="1"/>
  <c r="O69" i="11"/>
  <c r="P69" i="11" s="1"/>
  <c r="O68" i="11"/>
  <c r="P68" i="11" s="1"/>
  <c r="O55" i="11"/>
  <c r="P55" i="11" s="1"/>
  <c r="O59" i="11"/>
  <c r="P59" i="11" s="1"/>
  <c r="O53" i="11"/>
  <c r="P53" i="11" s="1"/>
  <c r="O104" i="11"/>
  <c r="P104" i="11" s="1"/>
  <c r="O57" i="11"/>
  <c r="P57" i="11" s="1"/>
  <c r="O83" i="11"/>
  <c r="P83" i="11" s="1"/>
  <c r="O67" i="11"/>
  <c r="P67" i="11" s="1"/>
  <c r="O43" i="11"/>
  <c r="P43" i="11" s="1"/>
  <c r="O98" i="11"/>
  <c r="P98" i="11" s="1"/>
  <c r="O110" i="11"/>
  <c r="P110" i="11" s="1"/>
  <c r="O82" i="11"/>
  <c r="P82" i="11" s="1"/>
  <c r="O45" i="11"/>
  <c r="P45" i="11" s="1"/>
  <c r="O37" i="11"/>
  <c r="P37" i="11" s="1"/>
  <c r="O65" i="11"/>
  <c r="P65" i="11" s="1"/>
  <c r="O91" i="11"/>
  <c r="P91" i="11" s="1"/>
  <c r="O72" i="11"/>
  <c r="P72" i="11" s="1"/>
  <c r="O31" i="11"/>
  <c r="P31" i="11" s="1"/>
  <c r="O93" i="11"/>
  <c r="P93" i="11" s="1"/>
  <c r="J93" i="11" s="1"/>
  <c r="O51" i="11"/>
  <c r="P51" i="11" s="1"/>
  <c r="O26" i="11"/>
  <c r="P26" i="11" s="1"/>
  <c r="O74" i="11"/>
  <c r="P74" i="11" s="1"/>
  <c r="O111" i="11"/>
  <c r="P111" i="11" s="1"/>
  <c r="O108" i="11"/>
  <c r="P108" i="11" s="1"/>
  <c r="O23" i="11"/>
  <c r="P23" i="11" s="1"/>
  <c r="I23" i="11"/>
  <c r="J23" i="11" s="1"/>
  <c r="O88" i="11"/>
  <c r="P88" i="11" s="1"/>
  <c r="O5" i="11"/>
  <c r="P5" i="11" s="1"/>
  <c r="I5" i="11"/>
  <c r="O63" i="11"/>
  <c r="P63" i="11" s="1"/>
  <c r="O87" i="11"/>
  <c r="P87" i="11" s="1"/>
  <c r="I16" i="11"/>
  <c r="O54" i="11"/>
  <c r="P54" i="11" s="1"/>
  <c r="O30" i="11"/>
  <c r="P30" i="11" s="1"/>
  <c r="O86" i="11"/>
  <c r="P86" i="11" s="1"/>
  <c r="O58" i="11"/>
  <c r="P58" i="11" s="1"/>
  <c r="O60" i="11"/>
  <c r="P60" i="11" s="1"/>
  <c r="I24" i="11"/>
  <c r="J24" i="11" s="1"/>
  <c r="O24" i="11"/>
  <c r="P24" i="11" s="1"/>
  <c r="O92" i="11"/>
  <c r="P92" i="11" s="1"/>
  <c r="O81" i="11"/>
  <c r="P81" i="11" s="1"/>
  <c r="O77" i="11"/>
  <c r="P77" i="11" s="1"/>
  <c r="O42" i="11"/>
  <c r="P42" i="11" s="1"/>
  <c r="O70" i="11"/>
  <c r="P70" i="11" s="1"/>
  <c r="O64" i="11"/>
  <c r="P64" i="11" s="1"/>
  <c r="O78" i="11"/>
  <c r="P78" i="11" s="1"/>
  <c r="O41" i="11"/>
  <c r="P41" i="11" s="1"/>
  <c r="O44" i="11"/>
  <c r="P44" i="11" s="1"/>
  <c r="O79" i="11"/>
  <c r="P79" i="11" s="1"/>
  <c r="O105" i="11"/>
  <c r="P105" i="11" s="1"/>
  <c r="O73" i="11"/>
  <c r="P73" i="11" s="1"/>
  <c r="O90" i="11"/>
  <c r="P90" i="11" s="1"/>
  <c r="O76" i="11"/>
  <c r="P76" i="11" s="1"/>
  <c r="O62" i="11"/>
  <c r="P62" i="11" s="1"/>
  <c r="W113" i="11"/>
  <c r="V38" i="11" s="1"/>
  <c r="O106" i="11"/>
  <c r="P106" i="11" s="1"/>
  <c r="O49" i="11"/>
  <c r="P49" i="11" s="1"/>
  <c r="O71" i="11"/>
  <c r="P71" i="11" s="1"/>
  <c r="O34" i="11"/>
  <c r="P34" i="11" s="1"/>
  <c r="O52" i="11"/>
  <c r="P52" i="11" s="1"/>
  <c r="O101" i="11"/>
  <c r="P101" i="11" s="1"/>
  <c r="O75" i="11"/>
  <c r="P75" i="11" s="1"/>
  <c r="I6" i="11"/>
  <c r="J6" i="11" s="1"/>
  <c r="O6" i="11"/>
  <c r="P6" i="11" s="1"/>
  <c r="O66" i="11"/>
  <c r="P66" i="11" s="1"/>
  <c r="O85" i="11"/>
  <c r="P85" i="11" s="1"/>
  <c r="O4" i="11"/>
  <c r="P4" i="11" s="1"/>
  <c r="I4" i="11"/>
  <c r="O84" i="11"/>
  <c r="P84" i="11" s="1"/>
  <c r="O80" i="11"/>
  <c r="P80" i="11" s="1"/>
  <c r="O27" i="11"/>
  <c r="P27" i="11" s="1"/>
  <c r="O107" i="11"/>
  <c r="P107" i="11" s="1"/>
  <c r="O94" i="11"/>
  <c r="P94" i="11" s="1"/>
  <c r="O46" i="11"/>
  <c r="P46" i="11" s="1"/>
  <c r="O109" i="11"/>
  <c r="P109" i="11" s="1"/>
  <c r="O32" i="11"/>
  <c r="P32" i="11" s="1"/>
  <c r="O56" i="11"/>
  <c r="P56" i="11" s="1"/>
  <c r="Q113" i="11"/>
  <c r="O12" i="11"/>
  <c r="P12" i="11" s="1"/>
  <c r="L18" i="12"/>
  <c r="M18" i="12"/>
  <c r="K12" i="12" s="1"/>
  <c r="V28" i="11" l="1"/>
  <c r="V47" i="11"/>
  <c r="K13" i="12"/>
  <c r="K15" i="12"/>
  <c r="K4" i="12"/>
  <c r="V29" i="11"/>
  <c r="V50" i="11"/>
  <c r="V97" i="11"/>
  <c r="V96" i="11"/>
  <c r="V35" i="11"/>
  <c r="V33" i="11"/>
  <c r="V21" i="11"/>
  <c r="V36" i="11"/>
  <c r="J5" i="11"/>
  <c r="N5" i="11"/>
  <c r="L5" i="11"/>
  <c r="M5" i="11"/>
  <c r="M20" i="11"/>
  <c r="N20" i="11"/>
  <c r="M4" i="11"/>
  <c r="N4" i="11"/>
  <c r="M16" i="11"/>
  <c r="N16" i="11"/>
  <c r="L14" i="11"/>
  <c r="M14" i="11"/>
  <c r="J20" i="11"/>
  <c r="L20" i="11"/>
  <c r="J4" i="11"/>
  <c r="L4" i="11"/>
  <c r="J16" i="11"/>
  <c r="L16" i="11"/>
  <c r="J14" i="11"/>
  <c r="F19" i="7"/>
  <c r="F17" i="7"/>
  <c r="M5" i="7"/>
  <c r="M15" i="7" s="1"/>
  <c r="V25" i="11"/>
  <c r="V92" i="11"/>
  <c r="V2" i="11"/>
  <c r="V112" i="11"/>
  <c r="V74" i="11"/>
  <c r="V22" i="11"/>
  <c r="K10" i="12"/>
  <c r="V58" i="11"/>
  <c r="V14" i="11"/>
  <c r="V34" i="11"/>
  <c r="V105" i="11"/>
  <c r="V24" i="11"/>
  <c r="V79" i="11"/>
  <c r="V48" i="11"/>
  <c r="V78" i="11"/>
  <c r="V45" i="11"/>
  <c r="V73" i="11"/>
  <c r="V66" i="11"/>
  <c r="V88" i="11"/>
  <c r="V80" i="11"/>
  <c r="V108" i="11"/>
  <c r="V61" i="11"/>
  <c r="V55" i="11"/>
  <c r="V15" i="11"/>
  <c r="V49" i="11"/>
  <c r="V103" i="11"/>
  <c r="V57" i="11"/>
  <c r="V90" i="11"/>
  <c r="V86" i="11"/>
  <c r="V84" i="11"/>
  <c r="V99" i="11"/>
  <c r="V109" i="11"/>
  <c r="V27" i="11"/>
  <c r="V107" i="11"/>
  <c r="V23" i="11"/>
  <c r="V11" i="11"/>
  <c r="V106" i="11"/>
  <c r="V101" i="11"/>
  <c r="V83" i="11"/>
  <c r="V54" i="11"/>
  <c r="V98" i="11"/>
  <c r="V95" i="11"/>
  <c r="V77" i="11"/>
  <c r="V30" i="11"/>
  <c r="V12" i="11"/>
  <c r="V8" i="11"/>
  <c r="V43" i="11"/>
  <c r="V68" i="11"/>
  <c r="V69" i="11"/>
  <c r="V39" i="11"/>
  <c r="V4" i="11"/>
  <c r="V20" i="11"/>
  <c r="V64" i="11"/>
  <c r="V70" i="11"/>
  <c r="V3" i="11"/>
  <c r="V53" i="11"/>
  <c r="V110" i="11"/>
  <c r="V82" i="11"/>
  <c r="V42" i="11"/>
  <c r="V81" i="11"/>
  <c r="V32" i="11"/>
  <c r="V94" i="11"/>
  <c r="V13" i="11"/>
  <c r="V71" i="11"/>
  <c r="V67" i="11"/>
  <c r="V104" i="11"/>
  <c r="V62" i="11"/>
  <c r="V18" i="11"/>
  <c r="V17" i="11"/>
  <c r="P113" i="11"/>
  <c r="V75" i="11"/>
  <c r="V63" i="11"/>
  <c r="V9" i="11"/>
  <c r="V46" i="11"/>
  <c r="V87" i="11"/>
  <c r="V111" i="11"/>
  <c r="V40" i="11"/>
  <c r="V85" i="11"/>
  <c r="V52" i="11"/>
  <c r="V41" i="11"/>
  <c r="V59" i="11"/>
  <c r="V19" i="11"/>
  <c r="V89" i="11"/>
  <c r="V26" i="11"/>
  <c r="V100" i="11"/>
  <c r="V91" i="11"/>
  <c r="V37" i="11"/>
  <c r="V65" i="11"/>
  <c r="V16" i="11"/>
  <c r="V56" i="11"/>
  <c r="V5" i="11"/>
  <c r="V44" i="11"/>
  <c r="V60" i="11"/>
  <c r="V7" i="11"/>
  <c r="V76" i="11"/>
  <c r="V93" i="11"/>
  <c r="V6" i="11"/>
  <c r="V31" i="11"/>
  <c r="V10" i="11"/>
  <c r="V72" i="11"/>
  <c r="V51" i="11"/>
  <c r="V102" i="11"/>
  <c r="O113" i="11"/>
  <c r="L15" i="7"/>
  <c r="K14" i="12"/>
  <c r="K11" i="12"/>
  <c r="K6" i="12"/>
  <c r="K5" i="12"/>
  <c r="K17" i="12"/>
  <c r="K16" i="12"/>
  <c r="K9" i="12"/>
  <c r="K7" i="12"/>
  <c r="K8" i="12"/>
  <c r="K3" i="12"/>
  <c r="K2" i="12"/>
  <c r="G18" i="12"/>
  <c r="U47" i="11" l="1"/>
  <c r="I47" i="11" s="1"/>
  <c r="U38" i="11"/>
  <c r="I38" i="11" s="1"/>
  <c r="J47" i="11"/>
  <c r="L47" i="11"/>
  <c r="M47" i="11"/>
  <c r="N47" i="11"/>
  <c r="U28" i="11"/>
  <c r="I28" i="11" s="1"/>
  <c r="J28" i="11" s="1"/>
  <c r="U50" i="11"/>
  <c r="I50" i="11" s="1"/>
  <c r="J50" i="11" s="1"/>
  <c r="U29" i="11"/>
  <c r="I29" i="11" s="1"/>
  <c r="J29" i="11" s="1"/>
  <c r="U96" i="11"/>
  <c r="I96" i="11" s="1"/>
  <c r="J96" i="11" s="1"/>
  <c r="U97" i="11"/>
  <c r="I97" i="11" s="1"/>
  <c r="J97" i="11" s="1"/>
  <c r="U35" i="11"/>
  <c r="I35" i="11" s="1"/>
  <c r="J35" i="11" s="1"/>
  <c r="U36" i="11"/>
  <c r="I36" i="11" s="1"/>
  <c r="J36" i="11" s="1"/>
  <c r="U33" i="11"/>
  <c r="I33" i="11" s="1"/>
  <c r="J33" i="11" s="1"/>
  <c r="U26" i="11"/>
  <c r="I26" i="11" s="1"/>
  <c r="N26" i="11" s="1"/>
  <c r="U46" i="11"/>
  <c r="I46" i="11" s="1"/>
  <c r="J46" i="11" s="1"/>
  <c r="U62" i="11"/>
  <c r="I62" i="11" s="1"/>
  <c r="U71" i="11"/>
  <c r="I71" i="11" s="1"/>
  <c r="N71" i="11" s="1"/>
  <c r="U81" i="11"/>
  <c r="I81" i="11" s="1"/>
  <c r="N81" i="11" s="1"/>
  <c r="U94" i="11"/>
  <c r="I94" i="11" s="1"/>
  <c r="N94" i="11" s="1"/>
  <c r="U30" i="11"/>
  <c r="I30" i="11" s="1"/>
  <c r="N30" i="11" s="1"/>
  <c r="U48" i="11"/>
  <c r="I48" i="11" s="1"/>
  <c r="J48" i="11" s="1"/>
  <c r="U64" i="11"/>
  <c r="I64" i="11" s="1"/>
  <c r="N64" i="11" s="1"/>
  <c r="U73" i="11"/>
  <c r="I73" i="11" s="1"/>
  <c r="N73" i="11" s="1"/>
  <c r="U82" i="11"/>
  <c r="I82" i="11" s="1"/>
  <c r="N82" i="11" s="1"/>
  <c r="U99" i="11"/>
  <c r="I99" i="11" s="1"/>
  <c r="N99" i="11" s="1"/>
  <c r="U31" i="11"/>
  <c r="I31" i="11" s="1"/>
  <c r="N31" i="11" s="1"/>
  <c r="U51" i="11"/>
  <c r="I51" i="11" s="1"/>
  <c r="N51" i="11" s="1"/>
  <c r="U66" i="11"/>
  <c r="I66" i="11" s="1"/>
  <c r="N66" i="11" s="1"/>
  <c r="U74" i="11"/>
  <c r="I74" i="11" s="1"/>
  <c r="N74" i="11" s="1"/>
  <c r="U86" i="11"/>
  <c r="I86" i="11" s="1"/>
  <c r="N86" i="11" s="1"/>
  <c r="U107" i="11"/>
  <c r="I107" i="11" s="1"/>
  <c r="N107" i="11" s="1"/>
  <c r="U32" i="11"/>
  <c r="I32" i="11" s="1"/>
  <c r="N32" i="11" s="1"/>
  <c r="U54" i="11"/>
  <c r="I54" i="11" s="1"/>
  <c r="N54" i="11" s="1"/>
  <c r="U67" i="11"/>
  <c r="I67" i="11" s="1"/>
  <c r="N67" i="11" s="1"/>
  <c r="U77" i="11"/>
  <c r="I77" i="11" s="1"/>
  <c r="N77" i="11" s="1"/>
  <c r="U88" i="11"/>
  <c r="I88" i="11" s="1"/>
  <c r="N88" i="11" s="1"/>
  <c r="U37" i="11"/>
  <c r="I37" i="11" s="1"/>
  <c r="N37" i="11" s="1"/>
  <c r="U55" i="11"/>
  <c r="I55" i="11" s="1"/>
  <c r="N55" i="11" s="1"/>
  <c r="U68" i="11"/>
  <c r="I68" i="11" s="1"/>
  <c r="N68" i="11" s="1"/>
  <c r="U79" i="11"/>
  <c r="I79" i="11" s="1"/>
  <c r="N79" i="11" s="1"/>
  <c r="U90" i="11"/>
  <c r="I90" i="11" s="1"/>
  <c r="N90" i="11" s="1"/>
  <c r="U25" i="11"/>
  <c r="I25" i="11" s="1"/>
  <c r="U43" i="11"/>
  <c r="I43" i="11" s="1"/>
  <c r="N43" i="11" s="1"/>
  <c r="U61" i="11"/>
  <c r="I61" i="11" s="1"/>
  <c r="N61" i="11" s="1"/>
  <c r="U69" i="11"/>
  <c r="I69" i="11" s="1"/>
  <c r="N69" i="11" s="1"/>
  <c r="U80" i="11"/>
  <c r="I80" i="11" s="1"/>
  <c r="N80" i="11" s="1"/>
  <c r="U91" i="11"/>
  <c r="I91" i="11" s="1"/>
  <c r="N91" i="11" s="1"/>
  <c r="U34" i="11"/>
  <c r="I34" i="11" s="1"/>
  <c r="N34" i="11" s="1"/>
  <c r="U52" i="11"/>
  <c r="I52" i="11" s="1"/>
  <c r="U70" i="11"/>
  <c r="I70" i="11" s="1"/>
  <c r="J70" i="11" s="1"/>
  <c r="U89" i="11"/>
  <c r="I89" i="11" s="1"/>
  <c r="N89" i="11" s="1"/>
  <c r="U103" i="11"/>
  <c r="I103" i="11" s="1"/>
  <c r="N103" i="11" s="1"/>
  <c r="U111" i="11"/>
  <c r="I111" i="11" s="1"/>
  <c r="N111" i="11" s="1"/>
  <c r="U45" i="11"/>
  <c r="I45" i="11" s="1"/>
  <c r="J45" i="11" s="1"/>
  <c r="U83" i="11"/>
  <c r="I83" i="11" s="1"/>
  <c r="J83" i="11" s="1"/>
  <c r="U39" i="11"/>
  <c r="I39" i="11" s="1"/>
  <c r="N39" i="11" s="1"/>
  <c r="U53" i="11"/>
  <c r="I53" i="11" s="1"/>
  <c r="J53" i="11" s="1"/>
  <c r="U76" i="11"/>
  <c r="I76" i="11" s="1"/>
  <c r="N76" i="11" s="1"/>
  <c r="U92" i="11"/>
  <c r="I92" i="11" s="1"/>
  <c r="N92" i="11" s="1"/>
  <c r="U104" i="11"/>
  <c r="I104" i="11" s="1"/>
  <c r="N104" i="11" s="1"/>
  <c r="U56" i="11"/>
  <c r="I56" i="11" s="1"/>
  <c r="J56" i="11" s="1"/>
  <c r="U101" i="11"/>
  <c r="I101" i="11" s="1"/>
  <c r="J101" i="11" s="1"/>
  <c r="U41" i="11"/>
  <c r="I41" i="11" s="1"/>
  <c r="N41" i="11" s="1"/>
  <c r="U57" i="11"/>
  <c r="I57" i="11" s="1"/>
  <c r="U78" i="11"/>
  <c r="I78" i="11" s="1"/>
  <c r="N78" i="11" s="1"/>
  <c r="U93" i="11"/>
  <c r="I93" i="11" s="1"/>
  <c r="N93" i="11" s="1"/>
  <c r="U105" i="11"/>
  <c r="I105" i="11" s="1"/>
  <c r="U63" i="11"/>
  <c r="I63" i="11" s="1"/>
  <c r="J63" i="11" s="1"/>
  <c r="U102" i="11"/>
  <c r="I102" i="11" s="1"/>
  <c r="J102" i="11" s="1"/>
  <c r="U42" i="11"/>
  <c r="I42" i="11" s="1"/>
  <c r="N42" i="11" s="1"/>
  <c r="U58" i="11"/>
  <c r="I58" i="11" s="1"/>
  <c r="N58" i="11" s="1"/>
  <c r="U84" i="11"/>
  <c r="I84" i="11" s="1"/>
  <c r="U95" i="11"/>
  <c r="I95" i="11" s="1"/>
  <c r="N95" i="11" s="1"/>
  <c r="U106" i="11"/>
  <c r="I106" i="11" s="1"/>
  <c r="J106" i="11" s="1"/>
  <c r="U65" i="11"/>
  <c r="I65" i="11" s="1"/>
  <c r="J65" i="11" s="1"/>
  <c r="U108" i="11"/>
  <c r="I108" i="11" s="1"/>
  <c r="J108" i="11" s="1"/>
  <c r="U44" i="11"/>
  <c r="I44" i="11" s="1"/>
  <c r="N44" i="11" s="1"/>
  <c r="U59" i="11"/>
  <c r="I59" i="11" s="1"/>
  <c r="N59" i="11" s="1"/>
  <c r="U85" i="11"/>
  <c r="I85" i="11" s="1"/>
  <c r="N85" i="11" s="1"/>
  <c r="U98" i="11"/>
  <c r="I98" i="11" s="1"/>
  <c r="U109" i="11"/>
  <c r="I109" i="11" s="1"/>
  <c r="J109" i="11" s="1"/>
  <c r="U27" i="11"/>
  <c r="I27" i="11" s="1"/>
  <c r="J27" i="11" s="1"/>
  <c r="U72" i="11"/>
  <c r="I72" i="11" s="1"/>
  <c r="J72" i="11" s="1"/>
  <c r="U49" i="11"/>
  <c r="I49" i="11" s="1"/>
  <c r="J49" i="11" s="1"/>
  <c r="U60" i="11"/>
  <c r="I60" i="11" s="1"/>
  <c r="U87" i="11"/>
  <c r="I87" i="11" s="1"/>
  <c r="N87" i="11" s="1"/>
  <c r="U100" i="11"/>
  <c r="I100" i="11" s="1"/>
  <c r="J100" i="11" s="1"/>
  <c r="U110" i="11"/>
  <c r="I110" i="11" s="1"/>
  <c r="N110" i="11" s="1"/>
  <c r="U40" i="11"/>
  <c r="I40" i="11" s="1"/>
  <c r="J40" i="11" s="1"/>
  <c r="U75" i="11"/>
  <c r="I75" i="11" s="1"/>
  <c r="J75" i="11" s="1"/>
  <c r="B15" i="5"/>
  <c r="N5" i="7"/>
  <c r="N15" i="7" s="1"/>
  <c r="V113" i="11"/>
  <c r="K18" i="12"/>
  <c r="J38" i="11" l="1"/>
  <c r="L38" i="11"/>
  <c r="M38" i="11"/>
  <c r="N38" i="11"/>
  <c r="N105" i="11"/>
  <c r="J105" i="11"/>
  <c r="N84" i="11"/>
  <c r="J84" i="11"/>
  <c r="N60" i="11"/>
  <c r="J60" i="11"/>
  <c r="N52" i="11"/>
  <c r="J52" i="11"/>
  <c r="N98" i="11"/>
  <c r="J98" i="11"/>
  <c r="N57" i="11"/>
  <c r="J57" i="11"/>
  <c r="J62" i="11"/>
  <c r="M62" i="11"/>
  <c r="N62" i="11"/>
  <c r="L62" i="11"/>
  <c r="M25" i="11"/>
  <c r="N25" i="11"/>
  <c r="L57" i="11"/>
  <c r="M57" i="11"/>
  <c r="L103" i="11"/>
  <c r="M103" i="11"/>
  <c r="L66" i="11"/>
  <c r="M66" i="11"/>
  <c r="L69" i="11"/>
  <c r="M69" i="11"/>
  <c r="L60" i="11"/>
  <c r="M60" i="11"/>
  <c r="L85" i="11"/>
  <c r="M85" i="11"/>
  <c r="L95" i="11"/>
  <c r="M95" i="11"/>
  <c r="L105" i="11"/>
  <c r="M105" i="11"/>
  <c r="L52" i="11"/>
  <c r="M52" i="11"/>
  <c r="L43" i="11"/>
  <c r="M43" i="11"/>
  <c r="L37" i="11"/>
  <c r="M37" i="11"/>
  <c r="L107" i="11"/>
  <c r="M107" i="11"/>
  <c r="L99" i="11"/>
  <c r="M99" i="11"/>
  <c r="L94" i="11"/>
  <c r="M94" i="11"/>
  <c r="L59" i="11"/>
  <c r="M59" i="11"/>
  <c r="L84" i="11"/>
  <c r="M84" i="11"/>
  <c r="L93" i="11"/>
  <c r="M93" i="11"/>
  <c r="L104" i="11"/>
  <c r="M104" i="11"/>
  <c r="L34" i="11"/>
  <c r="M34" i="11"/>
  <c r="L88" i="11"/>
  <c r="M88" i="11"/>
  <c r="L86" i="11"/>
  <c r="M86" i="11"/>
  <c r="L82" i="11"/>
  <c r="M82" i="11"/>
  <c r="L81" i="11"/>
  <c r="M81" i="11"/>
  <c r="L44" i="11"/>
  <c r="M44" i="11"/>
  <c r="L58" i="11"/>
  <c r="M58" i="11"/>
  <c r="L78" i="11"/>
  <c r="M78" i="11"/>
  <c r="L92" i="11"/>
  <c r="M92" i="11"/>
  <c r="L111" i="11"/>
  <c r="M111" i="11"/>
  <c r="L91" i="11"/>
  <c r="M91" i="11"/>
  <c r="L90" i="11"/>
  <c r="M90" i="11"/>
  <c r="L77" i="11"/>
  <c r="M77" i="11"/>
  <c r="L74" i="11"/>
  <c r="M74" i="11"/>
  <c r="L73" i="11"/>
  <c r="M73" i="11"/>
  <c r="L71" i="11"/>
  <c r="M71" i="11"/>
  <c r="L76" i="11"/>
  <c r="M76" i="11"/>
  <c r="L67" i="11"/>
  <c r="M67" i="11"/>
  <c r="L64" i="11"/>
  <c r="M64" i="11"/>
  <c r="L110" i="11"/>
  <c r="M110" i="11"/>
  <c r="L42" i="11"/>
  <c r="M42" i="11"/>
  <c r="L79" i="11"/>
  <c r="M79" i="11"/>
  <c r="L41" i="11"/>
  <c r="M41" i="11"/>
  <c r="L89" i="11"/>
  <c r="M89" i="11"/>
  <c r="L68" i="11"/>
  <c r="M68" i="11"/>
  <c r="L54" i="11"/>
  <c r="M54" i="11"/>
  <c r="L51" i="11"/>
  <c r="M51" i="11"/>
  <c r="L80" i="11"/>
  <c r="M80" i="11"/>
  <c r="L87" i="11"/>
  <c r="M87" i="11"/>
  <c r="L98" i="11"/>
  <c r="M98" i="11"/>
  <c r="L39" i="11"/>
  <c r="M39" i="11"/>
  <c r="L61" i="11"/>
  <c r="M61" i="11"/>
  <c r="L55" i="11"/>
  <c r="M55" i="11"/>
  <c r="L32" i="11"/>
  <c r="M32" i="11"/>
  <c r="L31" i="11"/>
  <c r="M31" i="11"/>
  <c r="L30" i="11"/>
  <c r="M30" i="11"/>
  <c r="L26" i="11"/>
  <c r="M26" i="11"/>
  <c r="J25" i="11"/>
  <c r="L25" i="11"/>
  <c r="J34" i="11"/>
  <c r="U113" i="11"/>
  <c r="J79" i="11"/>
  <c r="J39" i="11"/>
  <c r="J69" i="11"/>
  <c r="J54" i="11"/>
  <c r="J51" i="11"/>
  <c r="J59" i="11"/>
  <c r="J104" i="11"/>
  <c r="J43" i="11"/>
  <c r="J37" i="11"/>
  <c r="J107" i="11"/>
  <c r="J99" i="11"/>
  <c r="J94" i="11"/>
  <c r="J44" i="11"/>
  <c r="J58" i="11"/>
  <c r="J78" i="11"/>
  <c r="J92" i="11"/>
  <c r="J111" i="11"/>
  <c r="J88" i="11"/>
  <c r="J86" i="11"/>
  <c r="J82" i="11"/>
  <c r="J81" i="11"/>
  <c r="J110" i="11"/>
  <c r="J42" i="11"/>
  <c r="J76" i="11"/>
  <c r="J91" i="11"/>
  <c r="J90" i="11"/>
  <c r="J77" i="11"/>
  <c r="J74" i="11"/>
  <c r="J73" i="11"/>
  <c r="J71" i="11"/>
  <c r="J41" i="11"/>
  <c r="J89" i="11"/>
  <c r="J80" i="11"/>
  <c r="J67" i="11"/>
  <c r="J66" i="11"/>
  <c r="J64" i="11"/>
  <c r="J87" i="11"/>
  <c r="J68" i="11"/>
  <c r="J85" i="11"/>
  <c r="J95" i="11"/>
  <c r="J61" i="11"/>
  <c r="J55" i="11"/>
  <c r="J32" i="11"/>
  <c r="J31" i="11"/>
  <c r="J30" i="11"/>
  <c r="J26" i="11"/>
  <c r="B16" i="5"/>
  <c r="I11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DevOps</author>
  </authors>
  <commentList>
    <comment ref="K4" authorId="0" shapeId="0" xr:uid="{CCEF6295-BCD1-4B5A-85D1-24F7D3B7672F}">
      <text>
        <r>
          <rPr>
            <b/>
            <sz val="9"/>
            <color indexed="81"/>
            <rFont val="Tahoma"/>
            <family val="2"/>
          </rPr>
          <t>DevOps:</t>
        </r>
        <r>
          <rPr>
            <sz val="9"/>
            <color indexed="81"/>
            <rFont val="Tahoma"/>
            <family val="2"/>
          </rPr>
          <t xml:space="preserve">
increment Arrear </t>
        </r>
      </text>
    </comment>
    <comment ref="N5" authorId="0" shapeId="0" xr:uid="{247989E3-34DA-4439-9348-3BF621222B60}">
      <text>
        <r>
          <rPr>
            <b/>
            <sz val="9"/>
            <color indexed="81"/>
            <rFont val="Tahoma"/>
            <family val="2"/>
          </rPr>
          <t>DevOps:</t>
        </r>
        <r>
          <rPr>
            <sz val="9"/>
            <color indexed="81"/>
            <rFont val="Tahoma"/>
            <family val="2"/>
          </rPr>
          <t xml:space="preserve">
ITR Return</t>
        </r>
      </text>
    </comment>
    <comment ref="N6" authorId="0" shapeId="0" xr:uid="{C22C9DD4-83BC-4791-A718-3794BBBFC7E3}">
      <text>
        <r>
          <rPr>
            <b/>
            <sz val="9"/>
            <color indexed="81"/>
            <rFont val="Tahoma"/>
            <charset val="1"/>
          </rPr>
          <t>DevOps:</t>
        </r>
        <r>
          <rPr>
            <sz val="9"/>
            <color indexed="81"/>
            <rFont val="Tahoma"/>
            <charset val="1"/>
          </rPr>
          <t xml:space="preserve">
Society Investment</t>
        </r>
      </text>
    </comment>
    <comment ref="N8" authorId="0" shapeId="0" xr:uid="{AB7AD843-FCDE-4C91-AF23-F5DB1E64ACFE}">
      <text>
        <r>
          <rPr>
            <b/>
            <sz val="9"/>
            <color indexed="81"/>
            <rFont val="Tahoma"/>
            <charset val="1"/>
          </rPr>
          <t>DevOps:</t>
        </r>
        <r>
          <rPr>
            <sz val="9"/>
            <color indexed="81"/>
            <rFont val="Tahoma"/>
            <charset val="1"/>
          </rPr>
          <t xml:space="preserve">
Society investment -35k
Lic ballia - 26 k
</t>
        </r>
      </text>
    </comment>
    <comment ref="O9" authorId="0" shapeId="0" xr:uid="{1F118157-1F98-4653-B626-5E923D6016F4}">
      <text>
        <r>
          <rPr>
            <b/>
            <sz val="9"/>
            <color indexed="81"/>
            <rFont val="Tahoma"/>
            <charset val="1"/>
          </rPr>
          <t>DevOps:</t>
        </r>
        <r>
          <rPr>
            <sz val="9"/>
            <color indexed="81"/>
            <rFont val="Tahoma"/>
            <charset val="1"/>
          </rPr>
          <t xml:space="preserve">
Rishi Bhaiya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DevOps</author>
  </authors>
  <commentList>
    <comment ref="K6" authorId="0" shapeId="0" xr:uid="{0E46DBFD-8423-492A-A454-677CD04DB839}">
      <text>
        <r>
          <rPr>
            <b/>
            <sz val="9"/>
            <color indexed="81"/>
            <rFont val="Tahoma"/>
            <charset val="1"/>
          </rPr>
          <t>DevOps:</t>
        </r>
        <r>
          <rPr>
            <sz val="9"/>
            <color indexed="81"/>
            <rFont val="Tahoma"/>
            <charset val="1"/>
          </rPr>
          <t xml:space="preserve">
kuku wedding trip
new yer party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L31" authorId="0" shapeId="0" xr:uid="{E6D73ABB-6136-4904-91A0-760E6DDF1A8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20-Jun-23 - Buy 1</t>
        </r>
      </text>
    </comment>
    <comment ref="L32" authorId="0" shapeId="0" xr:uid="{60333BB6-08B2-4C99-B5E6-CA5F77FBD63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1448.7 - 1 - 27-jul-23</t>
        </r>
      </text>
    </comment>
    <comment ref="L34" authorId="0" shapeId="0" xr:uid="{2E2A227F-7D72-4D1D-BD3D-C3D46E4FA7D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1291.3 - 1 - 18-Jul-23</t>
        </r>
      </text>
    </comment>
    <comment ref="M34" authorId="0" shapeId="0" xr:uid="{6BE465C3-4626-48B5-A68A-49FD241D447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No Buy 
</t>
        </r>
      </text>
    </comment>
    <comment ref="N34" authorId="0" shapeId="0" xr:uid="{373CF446-1B88-4D55-8A48-5F4CF073C3B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1069.5 - 3 - 26-jul-23</t>
        </r>
      </text>
    </comment>
    <comment ref="L41" authorId="0" shapeId="0" xr:uid="{957264BF-230C-47F5-87B9-6B7B68D7E98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473.2 - 1- 25-Jul-23</t>
        </r>
      </text>
    </comment>
    <comment ref="L55" authorId="0" shapeId="0" xr:uid="{343343D2-EA28-4031-A2D4-1A99FE6F7D7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816.3 , 1, 10-Jul-23</t>
        </r>
      </text>
    </comment>
    <comment ref="M59" authorId="0" shapeId="0" xr:uid="{3E2574CD-3304-4E4F-80DA-4BAAA5BDD79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118 - 35 - 13 Jul-23</t>
        </r>
      </text>
    </comment>
    <comment ref="L60" authorId="0" shapeId="0" xr:uid="{CFAB6FCA-9BC5-4230-B0AF-00D4C479C12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3594.5 - 1 10-jul-23</t>
        </r>
      </text>
    </comment>
    <comment ref="L84" authorId="0" shapeId="0" xr:uid="{CB73FD4A-E37C-440C-BD7B-02873A7D080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21.2 - 26 - 20-7-23</t>
        </r>
      </text>
    </comment>
    <comment ref="L89" authorId="0" shapeId="0" xr:uid="{66B9450C-2961-416D-BFD0-D3562C8885F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23-Jun-23</t>
        </r>
      </text>
    </comment>
    <comment ref="L104" authorId="0" shapeId="0" xr:uid="{CFD66BBE-B2A1-4290-A774-145E250D614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1037.4 , 2 , 10-jul-23</t>
        </r>
      </text>
    </comment>
    <comment ref="M105" authorId="0" shapeId="0" xr:uid="{470C3F27-0FD6-4626-A737-7E138A603C3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553.35 - 5 - 17-Jul-23</t>
        </r>
      </text>
    </comment>
    <comment ref="M106" authorId="0" shapeId="0" xr:uid="{7E4C60E0-1EBA-4E76-9690-9AF3F7CD20A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10" authorId="0" shapeId="0" xr:uid="{60926003-35F0-4931-8F83-2F14FFDD8F5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624.2 - 1 - 11 -Jul-23</t>
        </r>
      </text>
    </comment>
  </commentList>
</comments>
</file>

<file path=xl/sharedStrings.xml><?xml version="1.0" encoding="utf-8"?>
<sst xmlns="http://schemas.openxmlformats.org/spreadsheetml/2006/main" count="1391" uniqueCount="358">
  <si>
    <t>Incentive Bonus</t>
  </si>
  <si>
    <t>Rati</t>
  </si>
  <si>
    <t>Family</t>
  </si>
  <si>
    <t>Investment Return</t>
  </si>
  <si>
    <t>Loan Return</t>
  </si>
  <si>
    <t>Year</t>
  </si>
  <si>
    <t>Month</t>
  </si>
  <si>
    <t>Home Loan</t>
  </si>
  <si>
    <t>Personal Loan</t>
  </si>
  <si>
    <t>Gadaget EMI</t>
  </si>
  <si>
    <t>Credit Card EMI</t>
  </si>
  <si>
    <t>Family loan</t>
  </si>
  <si>
    <t>Credit Purchase</t>
  </si>
  <si>
    <t>EPF Loan</t>
  </si>
  <si>
    <t>Balance</t>
  </si>
  <si>
    <t>EMI</t>
  </si>
  <si>
    <t>Rati Iphone EMI</t>
  </si>
  <si>
    <t xml:space="preserve">My Iphone </t>
  </si>
  <si>
    <t>Orchid Hosptility</t>
  </si>
  <si>
    <t>MakeMytrip</t>
  </si>
  <si>
    <t>Till 2026</t>
  </si>
  <si>
    <t>Bhaiya</t>
  </si>
  <si>
    <t>Abhishek Interior</t>
  </si>
  <si>
    <t>Salary Credit</t>
  </si>
  <si>
    <t>NPS Deduction</t>
  </si>
  <si>
    <t>EPF Deduction</t>
  </si>
  <si>
    <t>EPF Loan Deduction</t>
  </si>
  <si>
    <t>Lease Phone Deduction</t>
  </si>
  <si>
    <t>Lease Vehcile Dedution</t>
  </si>
  <si>
    <t>Total Loan</t>
  </si>
  <si>
    <t>Total</t>
  </si>
  <si>
    <t>Total Investment</t>
  </si>
  <si>
    <t>Opening Balance</t>
  </si>
  <si>
    <t>Secret Partner</t>
  </si>
  <si>
    <t>Equity</t>
  </si>
  <si>
    <t>SGB</t>
  </si>
  <si>
    <t>Fixed Return</t>
  </si>
  <si>
    <t>EPF</t>
  </si>
  <si>
    <t>NPS</t>
  </si>
  <si>
    <t>Real State</t>
  </si>
  <si>
    <t>Land</t>
  </si>
  <si>
    <t>Flat</t>
  </si>
  <si>
    <t>Stocks</t>
  </si>
  <si>
    <t>Type</t>
  </si>
  <si>
    <t>Invested</t>
  </si>
  <si>
    <t>P&amp;L</t>
  </si>
  <si>
    <t>Asset</t>
  </si>
  <si>
    <t>Allocation %</t>
  </si>
  <si>
    <t>Return</t>
  </si>
  <si>
    <t>Quantity</t>
  </si>
  <si>
    <t>Entry Date</t>
  </si>
  <si>
    <t>Instrument</t>
  </si>
  <si>
    <t>Qty.</t>
  </si>
  <si>
    <t>Avg. cost</t>
  </si>
  <si>
    <t>LTP</t>
  </si>
  <si>
    <t>Cur. val</t>
  </si>
  <si>
    <t>Net chg.</t>
  </si>
  <si>
    <t>Day chg.</t>
  </si>
  <si>
    <t>ABFRL</t>
  </si>
  <si>
    <t>AEGISVOPAK</t>
  </si>
  <si>
    <t>AFFLE</t>
  </si>
  <si>
    <t>AJAXENGG</t>
  </si>
  <si>
    <t>ASHOKLEY</t>
  </si>
  <si>
    <t>ATHERENERG</t>
  </si>
  <si>
    <t>AUTOBEES</t>
  </si>
  <si>
    <t>AXISBANK</t>
  </si>
  <si>
    <t>BAJAJHFL</t>
  </si>
  <si>
    <t>BAJFINANCE</t>
  </si>
  <si>
    <t>BELRISE</t>
  </si>
  <si>
    <t>BHARTIARTL</t>
  </si>
  <si>
    <t>BSE</t>
  </si>
  <si>
    <t>CAMS</t>
  </si>
  <si>
    <t>CDSL</t>
  </si>
  <si>
    <t>CONCORDBIO</t>
  </si>
  <si>
    <t>CUMMINSIND</t>
  </si>
  <si>
    <t>DATAMATICS</t>
  </si>
  <si>
    <t>DIVISLAB</t>
  </si>
  <si>
    <t>DLINKINDIA</t>
  </si>
  <si>
    <t>ETERNAL</t>
  </si>
  <si>
    <t>GODREJIND</t>
  </si>
  <si>
    <t>GOLDBEES</t>
  </si>
  <si>
    <t>HAL</t>
  </si>
  <si>
    <t>HBLENGINE</t>
  </si>
  <si>
    <t>HDBFS</t>
  </si>
  <si>
    <t>HDFCAMC</t>
  </si>
  <si>
    <t>HDFCBANK</t>
  </si>
  <si>
    <t>HEROMOTOCO</t>
  </si>
  <si>
    <t>HPL</t>
  </si>
  <si>
    <t>HUDCO</t>
  </si>
  <si>
    <t>ICICIBANK</t>
  </si>
  <si>
    <t>IREDA</t>
  </si>
  <si>
    <t>ITC</t>
  </si>
  <si>
    <t>JIOFIN</t>
  </si>
  <si>
    <t>KPIGREEN</t>
  </si>
  <si>
    <t>KPRMILL</t>
  </si>
  <si>
    <t>LGEINDIA</t>
  </si>
  <si>
    <t>LICI</t>
  </si>
  <si>
    <t>LINDEINDIA</t>
  </si>
  <si>
    <t>LT</t>
  </si>
  <si>
    <t>M&amp;M</t>
  </si>
  <si>
    <t>MANKIND</t>
  </si>
  <si>
    <t>NETWEB</t>
  </si>
  <si>
    <t>NTPCGREEN</t>
  </si>
  <si>
    <t>OLECTRA</t>
  </si>
  <si>
    <t>PARAS</t>
  </si>
  <si>
    <t>PATANJALI</t>
  </si>
  <si>
    <t>PFC</t>
  </si>
  <si>
    <t>PINELABS</t>
  </si>
  <si>
    <t>PRAJIND</t>
  </si>
  <si>
    <t>RELIANCE</t>
  </si>
  <si>
    <t>SBIN</t>
  </si>
  <si>
    <t>SOLARINDS</t>
  </si>
  <si>
    <t>SOUTHBANK</t>
  </si>
  <si>
    <t>TATACAP</t>
  </si>
  <si>
    <t>TATAPOWER</t>
  </si>
  <si>
    <t>THYROCARE</t>
  </si>
  <si>
    <t>TI</t>
  </si>
  <si>
    <t>TITAN</t>
  </si>
  <si>
    <t>TMCV</t>
  </si>
  <si>
    <t>TMPV</t>
  </si>
  <si>
    <t>TORNTPOWER</t>
  </si>
  <si>
    <t>TRENT</t>
  </si>
  <si>
    <t>ULTRACEMCO</t>
  </si>
  <si>
    <t>VMM</t>
  </si>
  <si>
    <t>WAAREEENER</t>
  </si>
  <si>
    <t>Aditya Birla Sun Life ELSS Tax Saver Growth</t>
  </si>
  <si>
    <t>Axis ELSS Tax Saver Direct Plan Growth</t>
  </si>
  <si>
    <t>Axis Small Cap Fund Direct Growth</t>
  </si>
  <si>
    <t>HDFC BSE Sensex Index Fund Direct Growth</t>
  </si>
  <si>
    <t>ICICI Prudential Technology Direct Plan Growth</t>
  </si>
  <si>
    <t>JioBlackRock Flexi Cap Fund Direct Growth</t>
  </si>
  <si>
    <t>Mirae Asset Large &amp; Midcap Fund Direct Growth</t>
  </si>
  <si>
    <t>Motilal Oswal Nifty India Defence Index Fund Direct Growth</t>
  </si>
  <si>
    <t>Nippon India Pharma Fund Direct Growth</t>
  </si>
  <si>
    <t>Parag Parikh Flexi Cap Fund Direct Growth</t>
  </si>
  <si>
    <t>Quant Infrastructure Fund Direct Growth</t>
  </si>
  <si>
    <t>Quant Small Cap Fund Direct Plan Growth</t>
  </si>
  <si>
    <t>SBI Gold Direct Plan Growth</t>
  </si>
  <si>
    <t>Mutual Fund</t>
  </si>
  <si>
    <t>ETF</t>
  </si>
  <si>
    <t>Gold</t>
  </si>
  <si>
    <t>Basic</t>
  </si>
  <si>
    <t>Investment Quota</t>
  </si>
  <si>
    <t>Sukanya Samriddhi</t>
  </si>
  <si>
    <t>Entry Month</t>
  </si>
  <si>
    <t>Total In Hand</t>
  </si>
  <si>
    <t>Invested Till Oct 25</t>
  </si>
  <si>
    <t>Actual Till Oct-25</t>
  </si>
  <si>
    <t>Invested Since Nov-25</t>
  </si>
  <si>
    <t>EPF/PPF</t>
  </si>
  <si>
    <t>Allocation % Till Oct 25</t>
  </si>
  <si>
    <t>Return % Till Date</t>
  </si>
  <si>
    <t>Corpus - 2 Crore Till Dec 2027</t>
  </si>
  <si>
    <t xml:space="preserve">Credit Card Due Till  Nov -25 </t>
  </si>
  <si>
    <t>Payments</t>
  </si>
  <si>
    <t>HouseHold</t>
  </si>
  <si>
    <t>Shopping</t>
  </si>
  <si>
    <t>Transport</t>
  </si>
  <si>
    <t>Family Care</t>
  </si>
  <si>
    <t>Support</t>
  </si>
  <si>
    <t>Luxary</t>
  </si>
  <si>
    <t>Expected Yearly</t>
  </si>
  <si>
    <t>Loan EMI</t>
  </si>
  <si>
    <t>Expected Monthly</t>
  </si>
  <si>
    <t>Actual  Expense</t>
  </si>
  <si>
    <t>Income</t>
  </si>
  <si>
    <t>Expense</t>
  </si>
  <si>
    <t>Investment</t>
  </si>
  <si>
    <t>Expected</t>
  </si>
  <si>
    <t>Average</t>
  </si>
  <si>
    <t>Loan Repayment</t>
  </si>
  <si>
    <t>Day</t>
  </si>
  <si>
    <t>Stock Name</t>
  </si>
  <si>
    <t>Buy/Sell</t>
  </si>
  <si>
    <t>Profit</t>
  </si>
  <si>
    <t>Profit %</t>
  </si>
  <si>
    <t>Rationale</t>
  </si>
  <si>
    <t>Deviation</t>
  </si>
  <si>
    <t>Buy</t>
  </si>
  <si>
    <t>TRADE</t>
  </si>
  <si>
    <t>SECTOR</t>
  </si>
  <si>
    <t>TYPE</t>
  </si>
  <si>
    <t>QNT</t>
  </si>
  <si>
    <t>AVG.</t>
  </si>
  <si>
    <t>High</t>
  </si>
  <si>
    <t>Available Quota</t>
  </si>
  <si>
    <t>CALL</t>
  </si>
  <si>
    <t>1st Target</t>
  </si>
  <si>
    <t>2nd Target</t>
  </si>
  <si>
    <t>3rd Target</t>
  </si>
  <si>
    <t>PROFIT</t>
  </si>
  <si>
    <t>PROFIT%</t>
  </si>
  <si>
    <t>CURRENT VALUE</t>
  </si>
  <si>
    <t>EA%</t>
  </si>
  <si>
    <t>AA%</t>
  </si>
  <si>
    <t>EA</t>
  </si>
  <si>
    <t>AA</t>
  </si>
  <si>
    <t>MARKET CAP</t>
  </si>
  <si>
    <t>INDHOTEL</t>
  </si>
  <si>
    <t>LCAP</t>
  </si>
  <si>
    <t>MCAP</t>
  </si>
  <si>
    <t>RVNL</t>
  </si>
  <si>
    <t>FINANCIAL SERVICES</t>
  </si>
  <si>
    <t>IRFC</t>
  </si>
  <si>
    <t>MCX</t>
  </si>
  <si>
    <t>VBL</t>
  </si>
  <si>
    <t>HFCL</t>
  </si>
  <si>
    <t>MSUMI</t>
  </si>
  <si>
    <t>GROWW</t>
  </si>
  <si>
    <t>VEDL</t>
  </si>
  <si>
    <t>Lookup</t>
  </si>
  <si>
    <t>Education Loan</t>
  </si>
  <si>
    <t>Parag Parikh Flexi Cap Fund Direct Growth-Self</t>
  </si>
  <si>
    <t>Physical Gold</t>
  </si>
  <si>
    <t>Scheme Name</t>
  </si>
  <si>
    <t>Units</t>
  </si>
  <si>
    <t>Invested Value</t>
  </si>
  <si>
    <t>Current Value</t>
  </si>
  <si>
    <t>Returns</t>
  </si>
  <si>
    <t>Net chg.%</t>
  </si>
  <si>
    <t>XIIR %</t>
  </si>
  <si>
    <t>AUTO ANCILLARY</t>
  </si>
  <si>
    <t>METALS</t>
  </si>
  <si>
    <t>TELECOM</t>
  </si>
  <si>
    <t>CHEMICALS</t>
  </si>
  <si>
    <t>FMCG</t>
  </si>
  <si>
    <t>TEXTILES</t>
  </si>
  <si>
    <t>ENERGY</t>
  </si>
  <si>
    <t>RETAIL</t>
  </si>
  <si>
    <t>SOFTWARE SERVICES</t>
  </si>
  <si>
    <t>ENGINEERING &amp; CAPITAL GOODS</t>
  </si>
  <si>
    <t>BUILDING MATERIALS</t>
  </si>
  <si>
    <t>HEALTHCARE</t>
  </si>
  <si>
    <t>LOGISTICS</t>
  </si>
  <si>
    <t>IT</t>
  </si>
  <si>
    <t>CONSUMER DURABLES</t>
  </si>
  <si>
    <t>TOURISM &amp; HOSPITALITY</t>
  </si>
  <si>
    <t>Home</t>
  </si>
  <si>
    <t>Sell</t>
  </si>
  <si>
    <t>Price</t>
  </si>
  <si>
    <t>SIP</t>
  </si>
  <si>
    <t>SWP</t>
  </si>
  <si>
    <t>Gold ETF</t>
  </si>
  <si>
    <t>Gold MF</t>
  </si>
  <si>
    <t>Return%</t>
  </si>
  <si>
    <t>MF-ELSS</t>
  </si>
  <si>
    <t>MF-Flexi Cap</t>
  </si>
  <si>
    <t>MF-Large &amp; MidCap</t>
  </si>
  <si>
    <t>MF-Index Fund</t>
  </si>
  <si>
    <t>MF-IT Fund</t>
  </si>
  <si>
    <t>MF-Pharma Fund</t>
  </si>
  <si>
    <t>MF-Infra Fund</t>
  </si>
  <si>
    <t>MF-Small Cap</t>
  </si>
  <si>
    <t>MF-Defence Fund</t>
  </si>
  <si>
    <t>NSDL</t>
  </si>
  <si>
    <t>LIC Intrest</t>
  </si>
  <si>
    <t>Savings</t>
  </si>
  <si>
    <t>RBI Balance</t>
  </si>
  <si>
    <t>Edelweiss US Technology Equity FoF Direct Growth</t>
  </si>
  <si>
    <t>MF-US IT Funds</t>
  </si>
  <si>
    <t>Kid</t>
  </si>
  <si>
    <t>Transactions</t>
  </si>
  <si>
    <t>ICICIAMC</t>
  </si>
  <si>
    <t>Avg</t>
  </si>
  <si>
    <t>Term</t>
  </si>
  <si>
    <t>Profit Till Oct-25</t>
  </si>
  <si>
    <t>HSBC CC</t>
  </si>
  <si>
    <t>AXIS Flipkart CC</t>
  </si>
  <si>
    <t>LIC</t>
  </si>
  <si>
    <t>Bhabhi</t>
  </si>
  <si>
    <t>HSBC</t>
  </si>
  <si>
    <t>IDFC</t>
  </si>
  <si>
    <t>SBI</t>
  </si>
  <si>
    <t>Salary</t>
  </si>
  <si>
    <t>Remaining</t>
  </si>
  <si>
    <t>This Month</t>
  </si>
  <si>
    <t>Retirement</t>
  </si>
  <si>
    <t>🎯</t>
  </si>
  <si>
    <t>💰⬆️Avg Income</t>
  </si>
  <si>
    <t>💸⬇️Avg Expense</t>
  </si>
  <si>
    <t>🏦🔁Avg Loan Repayment</t>
  </si>
  <si>
    <t>📈💼Avg Investment</t>
  </si>
  <si>
    <t>🐖💰Avg Savings</t>
  </si>
  <si>
    <t>🏛️RBI Balance</t>
  </si>
  <si>
    <t>💼💰</t>
  </si>
  <si>
    <t>🗂️</t>
  </si>
  <si>
    <t>💰</t>
  </si>
  <si>
    <t>💼</t>
  </si>
  <si>
    <t>%</t>
  </si>
  <si>
    <t>🗓️📈</t>
  </si>
  <si>
    <t xml:space="preserve">📊 DashBoard as of </t>
  </si>
  <si>
    <t>📊 70% of Investment 🚀</t>
  </si>
  <si>
    <t xml:space="preserve">🪙10% of Investment✨ </t>
  </si>
  <si>
    <t>👴14% of Basic Salary📈</t>
  </si>
  <si>
    <t>🎯20% of Investment💸</t>
  </si>
  <si>
    <t>🏠No Allocation So far 📊</t>
  </si>
  <si>
    <t>✅</t>
  </si>
  <si>
    <t>💸</t>
  </si>
  <si>
    <t>Till 2025</t>
  </si>
  <si>
    <t>SIP%</t>
  </si>
  <si>
    <t>ESIP</t>
  </si>
  <si>
    <t/>
  </si>
  <si>
    <t>Long Term</t>
  </si>
  <si>
    <t>EXIT</t>
  </si>
  <si>
    <t>Trading</t>
  </si>
  <si>
    <t>Tier</t>
  </si>
  <si>
    <t>Stop Loss %</t>
  </si>
  <si>
    <t>Initial Stop-Loss %</t>
  </si>
  <si>
    <t>Final Target %</t>
  </si>
  <si>
    <t>Trailing Stop Rule</t>
  </si>
  <si>
    <t>Tier 1</t>
  </si>
  <si>
    <t>Tier 4</t>
  </si>
  <si>
    <t>Tier 2</t>
  </si>
  <si>
    <t>Trail -8% from peak after +12%</t>
  </si>
  <si>
    <t>Tier 3</t>
  </si>
  <si>
    <t>No trailing</t>
  </si>
  <si>
    <t>Trail -10% from peak after +15%</t>
  </si>
  <si>
    <t>-</t>
  </si>
  <si>
    <t>Fixed</t>
  </si>
  <si>
    <t>MF</t>
  </si>
  <si>
    <t>Partial Profit %</t>
  </si>
  <si>
    <t>Wallet</t>
  </si>
  <si>
    <t>Last Buy</t>
  </si>
  <si>
    <t>Actual Stocks Allocation</t>
  </si>
  <si>
    <t>Swing Trade</t>
  </si>
  <si>
    <t>ICICI Prudential Equity &amp; Debt Fund Direct Growth</t>
  </si>
  <si>
    <t>Tier1</t>
  </si>
  <si>
    <t>CRAFTSMAN</t>
  </si>
  <si>
    <t>HINDCOPPER</t>
  </si>
  <si>
    <t>HINDZINC</t>
  </si>
  <si>
    <t>GOLD ETF</t>
  </si>
  <si>
    <t>NBFC Loan (LIC)</t>
  </si>
  <si>
    <t>Car Loan</t>
  </si>
  <si>
    <t>Flipkar</t>
  </si>
  <si>
    <t>Bomaby Trip</t>
  </si>
  <si>
    <t>Mummy Flight Ticket</t>
  </si>
  <si>
    <t>Didi Mobile</t>
  </si>
  <si>
    <t>Mummy Return Ticket</t>
  </si>
  <si>
    <t>Remarks</t>
  </si>
  <si>
    <t>Remaing Month</t>
  </si>
  <si>
    <t>Merchnat</t>
  </si>
  <si>
    <t>EMI Amount</t>
  </si>
  <si>
    <t>Tenure</t>
  </si>
  <si>
    <t>Total repayment</t>
  </si>
  <si>
    <t>Loan Distributor</t>
  </si>
  <si>
    <t>S.No</t>
  </si>
  <si>
    <t>BHARATFORG</t>
  </si>
  <si>
    <t>BHEL</t>
  </si>
  <si>
    <t>MOTHERSON</t>
  </si>
  <si>
    <t>SIEMENS</t>
  </si>
  <si>
    <t>SONACOMS</t>
  </si>
  <si>
    <t>GOLD</t>
  </si>
  <si>
    <t>SCAP</t>
  </si>
  <si>
    <t>09 Mar 2026</t>
  </si>
  <si>
    <t>05 Mar 2026</t>
  </si>
  <si>
    <t>02 Mar 2026</t>
  </si>
  <si>
    <t>ADANIGREEN</t>
  </si>
  <si>
    <t>EICHERMOT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</si>
</sst>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 [$₹-4009]\ * #,##0.00_ ;_ [$₹-4009]\ * \-#,##0.00_ ;_ [$₹-4009]\ * &quot;-&quot;??_ ;_ @_ "/>
    <numFmt numFmtId="165" formatCode="_ [$₹-4009]\ * #,##0_ ;_ [$₹-4009]\ * \-#,##0_ ;_ [$₹-4009]\ * &quot;-&quot;??_ ;_ @_ "/>
    <numFmt numFmtId="166" formatCode="&quot;₹&quot;\ #,##0"/>
    <numFmt numFmtId="167" formatCode="[$-409]d\-mmm\-yy;@"/>
    <numFmt numFmtId="168" formatCode="0.0"/>
    <numFmt numFmtId="169" formatCode="_ * #,##0_ ;_ * \-#,##0_ ;_ * &quot;-&quot;??_ ;_ @_ 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name val="Times New Roman"/>
      <family val="1"/>
    </font>
    <font>
      <b/>
      <sz val="10"/>
      <color theme="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0"/>
      <name val="Times New Roman"/>
      <family val="1"/>
    </font>
    <font>
      <sz val="8"/>
      <name val="Calibri"/>
      <family val="2"/>
      <scheme val="minor"/>
    </font>
    <font>
      <sz val="9"/>
      <color theme="1"/>
      <name val="Cambria"/>
      <family val="1"/>
    </font>
    <font>
      <b/>
      <u/>
      <sz val="9"/>
      <color theme="1"/>
      <name val="Cambria"/>
      <family val="1"/>
    </font>
    <font>
      <b/>
      <sz val="9"/>
      <color theme="0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</font>
    <font>
      <sz val="9"/>
      <color theme="0"/>
      <name val="Arial"/>
    </font>
    <font>
      <sz val="9"/>
      <name val="Arial"/>
    </font>
    <font>
      <b/>
      <sz val="9"/>
      <name val="Arial"/>
    </font>
    <font>
      <b/>
      <sz val="10"/>
      <color theme="0"/>
      <name val="Cambria"/>
      <family val="1"/>
    </font>
    <font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1"/>
      <name val="Cambria"/>
      <family val="1"/>
    </font>
    <font>
      <sz val="9"/>
      <color theme="0"/>
      <name val="Cambria"/>
      <family val="1"/>
    </font>
    <font>
      <sz val="9"/>
      <name val="Cambria"/>
      <family val="1"/>
    </font>
    <font>
      <sz val="9"/>
      <color rgb="FF00B050"/>
      <name val="Cambria"/>
      <family val="1"/>
    </font>
    <font>
      <sz val="9"/>
      <color theme="1"/>
      <name val="Arial"/>
      <family val="2"/>
    </font>
    <font>
      <sz val="11"/>
      <color indexed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theme="0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mbria"/>
      <family val="1"/>
    </font>
    <font>
      <sz val="10"/>
      <color rgb="FF002060"/>
      <name val="Cambria"/>
      <family val="1"/>
    </font>
  </fonts>
  <fills count="6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333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33"/>
        <bgColor theme="4"/>
      </patternFill>
    </fill>
    <fill>
      <patternFill patternType="solid">
        <fgColor theme="8" tint="0.39997558519241921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002060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0" tint="-0.14999847407452621"/>
      </patternFill>
    </fill>
    <fill>
      <patternFill patternType="solid">
        <fgColor rgb="FFFFFF00"/>
        <bgColor theme="4"/>
      </patternFill>
    </fill>
    <fill>
      <patternFill patternType="solid">
        <fgColor theme="2"/>
        <bgColor theme="4"/>
      </patternFill>
    </fill>
  </fills>
  <borders count="5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4" tint="0.3999755851924192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/>
  </cellStyleXfs>
  <cellXfs count="479">
    <xf numFmtId="0" fontId="0" fillId="0" borderId="0" xfId="0"/>
    <xf numFmtId="0" fontId="2" fillId="11" borderId="0" xfId="0" applyFont="1" applyFill="1"/>
    <xf numFmtId="0" fontId="3" fillId="11" borderId="0" xfId="0" applyFont="1" applyFill="1"/>
    <xf numFmtId="0" fontId="2" fillId="0" borderId="0" xfId="0" applyFont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4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0" borderId="0" xfId="0" applyFont="1"/>
    <xf numFmtId="17" fontId="2" fillId="0" borderId="0" xfId="0" applyNumberFormat="1" applyFont="1"/>
    <xf numFmtId="0" fontId="5" fillId="11" borderId="0" xfId="0" applyFont="1" applyFill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14" borderId="29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2" fillId="8" borderId="29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17" fontId="2" fillId="0" borderId="24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8" fillId="9" borderId="21" xfId="0" applyFont="1" applyFill="1" applyBorder="1" applyAlignment="1">
      <alignment horizontal="center" vertical="center" wrapText="1"/>
    </xf>
    <xf numFmtId="0" fontId="8" fillId="9" borderId="22" xfId="0" applyFont="1" applyFill="1" applyBorder="1" applyAlignment="1">
      <alignment horizontal="center" vertical="center"/>
    </xf>
    <xf numFmtId="0" fontId="8" fillId="9" borderId="22" xfId="0" applyFont="1" applyFill="1" applyBorder="1" applyAlignment="1">
      <alignment horizontal="center" vertical="center" wrapText="1"/>
    </xf>
    <xf numFmtId="0" fontId="8" fillId="14" borderId="22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8" fillId="8" borderId="22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13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5" fillId="13" borderId="29" xfId="0" applyFont="1" applyFill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 wrapText="1"/>
    </xf>
    <xf numFmtId="0" fontId="6" fillId="12" borderId="29" xfId="0" applyFont="1" applyFill="1" applyBorder="1" applyAlignment="1">
      <alignment horizontal="center" vertical="center" wrapText="1"/>
    </xf>
    <xf numFmtId="0" fontId="5" fillId="12" borderId="29" xfId="0" applyFont="1" applyFill="1" applyBorder="1" applyAlignment="1">
      <alignment horizontal="center" vertical="center" wrapText="1"/>
    </xf>
    <xf numFmtId="0" fontId="4" fillId="14" borderId="17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16" borderId="0" xfId="0" applyFont="1" applyFill="1" applyAlignment="1">
      <alignment vertical="center" wrapText="1"/>
    </xf>
    <xf numFmtId="0" fontId="8" fillId="14" borderId="33" xfId="0" applyFont="1" applyFill="1" applyBorder="1" applyAlignment="1">
      <alignment horizontal="center" vertical="center" wrapText="1"/>
    </xf>
    <xf numFmtId="0" fontId="6" fillId="17" borderId="6" xfId="0" applyFont="1" applyFill="1" applyBorder="1" applyAlignment="1">
      <alignment vertical="center" wrapText="1"/>
    </xf>
    <xf numFmtId="0" fontId="6" fillId="17" borderId="8" xfId="0" applyFont="1" applyFill="1" applyBorder="1" applyAlignment="1">
      <alignment vertical="center" wrapText="1"/>
    </xf>
    <xf numFmtId="0" fontId="6" fillId="17" borderId="11" xfId="0" applyFont="1" applyFill="1" applyBorder="1" applyAlignment="1">
      <alignment vertical="center" wrapText="1"/>
    </xf>
    <xf numFmtId="0" fontId="6" fillId="17" borderId="13" xfId="0" applyFont="1" applyFill="1" applyBorder="1" applyAlignment="1">
      <alignment vertical="center" wrapText="1"/>
    </xf>
    <xf numFmtId="0" fontId="5" fillId="18" borderId="21" xfId="0" applyFont="1" applyFill="1" applyBorder="1" applyAlignment="1">
      <alignment horizontal="center" vertical="center" wrapText="1"/>
    </xf>
    <xf numFmtId="0" fontId="5" fillId="18" borderId="23" xfId="0" applyFont="1" applyFill="1" applyBorder="1" applyAlignment="1">
      <alignment horizontal="center" vertical="center" wrapText="1"/>
    </xf>
    <xf numFmtId="17" fontId="5" fillId="0" borderId="26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17" borderId="18" xfId="0" applyFont="1" applyFill="1" applyBorder="1" applyAlignment="1">
      <alignment vertical="center" wrapText="1"/>
    </xf>
    <xf numFmtId="0" fontId="6" fillId="17" borderId="20" xfId="0" applyFont="1" applyFill="1" applyBorder="1" applyAlignment="1">
      <alignment vertical="center" wrapText="1"/>
    </xf>
    <xf numFmtId="0" fontId="8" fillId="14" borderId="30" xfId="0" applyFont="1" applyFill="1" applyBorder="1" applyAlignment="1">
      <alignment horizontal="center" vertical="center" wrapText="1"/>
    </xf>
    <xf numFmtId="0" fontId="8" fillId="8" borderId="29" xfId="0" applyFont="1" applyFill="1" applyBorder="1" applyAlignment="1">
      <alignment horizontal="center" vertical="center" wrapText="1"/>
    </xf>
    <xf numFmtId="0" fontId="10" fillId="11" borderId="0" xfId="0" applyFont="1" applyFill="1"/>
    <xf numFmtId="9" fontId="10" fillId="11" borderId="0" xfId="1" applyFont="1" applyFill="1"/>
    <xf numFmtId="0" fontId="10" fillId="11" borderId="0" xfId="0" applyFont="1" applyFill="1" applyAlignment="1">
      <alignment wrapText="1"/>
    </xf>
    <xf numFmtId="0" fontId="12" fillId="5" borderId="14" xfId="0" applyFont="1" applyFill="1" applyBorder="1"/>
    <xf numFmtId="0" fontId="12" fillId="5" borderId="15" xfId="0" applyFont="1" applyFill="1" applyBorder="1"/>
    <xf numFmtId="165" fontId="10" fillId="0" borderId="9" xfId="0" applyNumberFormat="1" applyFont="1" applyBorder="1"/>
    <xf numFmtId="165" fontId="10" fillId="0" borderId="0" xfId="0" applyNumberFormat="1" applyFont="1"/>
    <xf numFmtId="9" fontId="10" fillId="0" borderId="0" xfId="1" applyFont="1" applyBorder="1"/>
    <xf numFmtId="0" fontId="12" fillId="4" borderId="14" xfId="0" applyFont="1" applyFill="1" applyBorder="1"/>
    <xf numFmtId="0" fontId="12" fillId="4" borderId="15" xfId="0" applyFont="1" applyFill="1" applyBorder="1"/>
    <xf numFmtId="0" fontId="12" fillId="6" borderId="14" xfId="0" applyFont="1" applyFill="1" applyBorder="1"/>
    <xf numFmtId="0" fontId="12" fillId="6" borderId="15" xfId="0" applyFont="1" applyFill="1" applyBorder="1"/>
    <xf numFmtId="0" fontId="12" fillId="3" borderId="14" xfId="0" applyFont="1" applyFill="1" applyBorder="1"/>
    <xf numFmtId="0" fontId="12" fillId="3" borderId="15" xfId="0" applyFont="1" applyFill="1" applyBorder="1"/>
    <xf numFmtId="0" fontId="12" fillId="3" borderId="16" xfId="0" applyFont="1" applyFill="1" applyBorder="1"/>
    <xf numFmtId="0" fontId="12" fillId="4" borderId="11" xfId="0" applyFont="1" applyFill="1" applyBorder="1"/>
    <xf numFmtId="0" fontId="12" fillId="4" borderId="13" xfId="0" applyFont="1" applyFill="1" applyBorder="1"/>
    <xf numFmtId="165" fontId="10" fillId="0" borderId="11" xfId="0" applyNumberFormat="1" applyFont="1" applyBorder="1"/>
    <xf numFmtId="164" fontId="10" fillId="0" borderId="12" xfId="0" applyNumberFormat="1" applyFont="1" applyBorder="1"/>
    <xf numFmtId="0" fontId="10" fillId="0" borderId="11" xfId="0" applyFont="1" applyBorder="1"/>
    <xf numFmtId="9" fontId="10" fillId="0" borderId="12" xfId="0" applyNumberFormat="1" applyFont="1" applyBorder="1"/>
    <xf numFmtId="0" fontId="10" fillId="0" borderId="12" xfId="0" applyFont="1" applyBorder="1"/>
    <xf numFmtId="0" fontId="2" fillId="18" borderId="0" xfId="0" applyFont="1" applyFill="1"/>
    <xf numFmtId="166" fontId="2" fillId="11" borderId="0" xfId="0" applyNumberFormat="1" applyFont="1" applyFill="1"/>
    <xf numFmtId="0" fontId="8" fillId="7" borderId="0" xfId="0" applyFont="1" applyFill="1"/>
    <xf numFmtId="166" fontId="8" fillId="7" borderId="0" xfId="0" applyNumberFormat="1" applyFont="1" applyFill="1"/>
    <xf numFmtId="0" fontId="4" fillId="9" borderId="36" xfId="0" applyFont="1" applyFill="1" applyBorder="1" applyAlignment="1">
      <alignment horizontal="center" vertical="center"/>
    </xf>
    <xf numFmtId="0" fontId="4" fillId="9" borderId="37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 wrapText="1"/>
    </xf>
    <xf numFmtId="0" fontId="4" fillId="9" borderId="24" xfId="0" applyFont="1" applyFill="1" applyBorder="1" applyAlignment="1">
      <alignment horizontal="center" vertical="center"/>
    </xf>
    <xf numFmtId="0" fontId="4" fillId="14" borderId="24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4" fillId="7" borderId="24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6" fillId="17" borderId="34" xfId="0" applyFont="1" applyFill="1" applyBorder="1" applyAlignment="1">
      <alignment vertical="center" wrapText="1"/>
    </xf>
    <xf numFmtId="0" fontId="6" fillId="17" borderId="35" xfId="0" applyFont="1" applyFill="1" applyBorder="1" applyAlignment="1">
      <alignment vertical="center" wrapText="1"/>
    </xf>
    <xf numFmtId="0" fontId="4" fillId="14" borderId="31" xfId="0" applyFont="1" applyFill="1" applyBorder="1" applyAlignment="1">
      <alignment horizontal="center" vertical="center" wrapText="1"/>
    </xf>
    <xf numFmtId="0" fontId="7" fillId="0" borderId="36" xfId="0" applyFont="1" applyBorder="1" applyAlignment="1">
      <alignment wrapText="1"/>
    </xf>
    <xf numFmtId="0" fontId="7" fillId="0" borderId="37" xfId="0" applyFont="1" applyBorder="1" applyAlignment="1">
      <alignment wrapText="1"/>
    </xf>
    <xf numFmtId="0" fontId="7" fillId="4" borderId="37" xfId="0" applyFont="1" applyFill="1" applyBorder="1" applyAlignment="1">
      <alignment wrapText="1"/>
    </xf>
    <xf numFmtId="0" fontId="7" fillId="3" borderId="37" xfId="0" applyFont="1" applyFill="1" applyBorder="1" applyAlignment="1">
      <alignment wrapText="1"/>
    </xf>
    <xf numFmtId="0" fontId="7" fillId="3" borderId="38" xfId="0" applyFont="1" applyFill="1" applyBorder="1" applyAlignment="1">
      <alignment wrapText="1"/>
    </xf>
    <xf numFmtId="0" fontId="15" fillId="27" borderId="20" xfId="0" applyFont="1" applyFill="1" applyBorder="1" applyAlignment="1">
      <alignment horizontal="center" vertical="center"/>
    </xf>
    <xf numFmtId="0" fontId="16" fillId="21" borderId="13" xfId="0" applyFont="1" applyFill="1" applyBorder="1" applyAlignment="1">
      <alignment horizontal="center" vertical="center" wrapText="1"/>
    </xf>
    <xf numFmtId="0" fontId="16" fillId="22" borderId="4" xfId="0" applyFont="1" applyFill="1" applyBorder="1" applyAlignment="1">
      <alignment horizontal="center" vertical="center" wrapText="1"/>
    </xf>
    <xf numFmtId="1" fontId="16" fillId="22" borderId="4" xfId="0" applyNumberFormat="1" applyFont="1" applyFill="1" applyBorder="1" applyAlignment="1">
      <alignment horizontal="center" vertical="center" wrapText="1"/>
    </xf>
    <xf numFmtId="10" fontId="16" fillId="5" borderId="4" xfId="1" applyNumberFormat="1" applyFont="1" applyFill="1" applyBorder="1" applyAlignment="1">
      <alignment horizontal="center" vertical="center" wrapText="1"/>
    </xf>
    <xf numFmtId="0" fontId="16" fillId="25" borderId="4" xfId="0" applyFont="1" applyFill="1" applyBorder="1" applyAlignment="1">
      <alignment horizontal="center" vertical="center" wrapText="1"/>
    </xf>
    <xf numFmtId="0" fontId="16" fillId="25" borderId="0" xfId="0" applyFont="1" applyFill="1" applyAlignment="1">
      <alignment horizontal="center" vertical="center" wrapText="1"/>
    </xf>
    <xf numFmtId="1" fontId="16" fillId="25" borderId="4" xfId="0" applyNumberFormat="1" applyFont="1" applyFill="1" applyBorder="1" applyAlignment="1">
      <alignment horizontal="center" vertical="center" wrapText="1"/>
    </xf>
    <xf numFmtId="10" fontId="16" fillId="25" borderId="4" xfId="1" applyNumberFormat="1" applyFont="1" applyFill="1" applyBorder="1" applyAlignment="1">
      <alignment horizontal="center" vertical="center" wrapText="1"/>
    </xf>
    <xf numFmtId="10" fontId="16" fillId="26" borderId="11" xfId="1" applyNumberFormat="1" applyFont="1" applyFill="1" applyBorder="1" applyAlignment="1">
      <alignment horizontal="center" vertical="center" wrapText="1"/>
    </xf>
    <xf numFmtId="0" fontId="15" fillId="30" borderId="20" xfId="0" applyFont="1" applyFill="1" applyBorder="1" applyAlignment="1">
      <alignment horizontal="center" vertical="center"/>
    </xf>
    <xf numFmtId="0" fontId="15" fillId="31" borderId="20" xfId="0" applyFont="1" applyFill="1" applyBorder="1" applyAlignment="1">
      <alignment horizontal="center" vertical="center"/>
    </xf>
    <xf numFmtId="0" fontId="15" fillId="33" borderId="20" xfId="0" applyFont="1" applyFill="1" applyBorder="1" applyAlignment="1">
      <alignment horizontal="center" vertical="center"/>
    </xf>
    <xf numFmtId="0" fontId="15" fillId="36" borderId="20" xfId="0" applyFont="1" applyFill="1" applyBorder="1" applyAlignment="1">
      <alignment horizontal="center" vertical="center"/>
    </xf>
    <xf numFmtId="2" fontId="16" fillId="5" borderId="4" xfId="0" applyNumberFormat="1" applyFont="1" applyFill="1" applyBorder="1" applyAlignment="1">
      <alignment horizontal="center" vertical="center" wrapText="1"/>
    </xf>
    <xf numFmtId="10" fontId="16" fillId="5" borderId="4" xfId="0" applyNumberFormat="1" applyFont="1" applyFill="1" applyBorder="1" applyAlignment="1">
      <alignment horizontal="center" vertical="center" wrapText="1"/>
    </xf>
    <xf numFmtId="10" fontId="16" fillId="13" borderId="4" xfId="0" applyNumberFormat="1" applyFont="1" applyFill="1" applyBorder="1" applyAlignment="1">
      <alignment horizontal="center" vertical="center" wrapText="1"/>
    </xf>
    <xf numFmtId="10" fontId="16" fillId="23" borderId="4" xfId="0" applyNumberFormat="1" applyFont="1" applyFill="1" applyBorder="1" applyAlignment="1">
      <alignment horizontal="center" vertical="center" wrapText="1"/>
    </xf>
    <xf numFmtId="10" fontId="16" fillId="24" borderId="4" xfId="0" applyNumberFormat="1" applyFont="1" applyFill="1" applyBorder="1" applyAlignment="1">
      <alignment horizontal="center" vertical="center" wrapText="1"/>
    </xf>
    <xf numFmtId="2" fontId="16" fillId="25" borderId="4" xfId="0" applyNumberFormat="1" applyFont="1" applyFill="1" applyBorder="1" applyAlignment="1">
      <alignment horizontal="center" vertical="center" wrapText="1"/>
    </xf>
    <xf numFmtId="9" fontId="16" fillId="25" borderId="4" xfId="0" applyNumberFormat="1" applyFont="1" applyFill="1" applyBorder="1" applyAlignment="1">
      <alignment horizontal="center" vertical="center" wrapText="1"/>
    </xf>
    <xf numFmtId="10" fontId="16" fillId="26" borderId="11" xfId="0" applyNumberFormat="1" applyFont="1" applyFill="1" applyBorder="1" applyAlignment="1">
      <alignment horizontal="center" vertical="center" wrapText="1"/>
    </xf>
    <xf numFmtId="17" fontId="2" fillId="0" borderId="25" xfId="0" applyNumberFormat="1" applyFont="1" applyBorder="1" applyAlignment="1">
      <alignment horizontal="center" vertical="center"/>
    </xf>
    <xf numFmtId="0" fontId="24" fillId="37" borderId="2" xfId="0" applyFont="1" applyFill="1" applyBorder="1"/>
    <xf numFmtId="0" fontId="25" fillId="26" borderId="2" xfId="0" applyFont="1" applyFill="1" applyBorder="1"/>
    <xf numFmtId="0" fontId="26" fillId="11" borderId="2" xfId="0" applyFont="1" applyFill="1" applyBorder="1"/>
    <xf numFmtId="0" fontId="27" fillId="11" borderId="2" xfId="0" applyFont="1" applyFill="1" applyBorder="1"/>
    <xf numFmtId="1" fontId="27" fillId="11" borderId="2" xfId="0" applyNumberFormat="1" applyFont="1" applyFill="1" applyBorder="1"/>
    <xf numFmtId="0" fontId="26" fillId="38" borderId="2" xfId="0" applyFont="1" applyFill="1" applyBorder="1"/>
    <xf numFmtId="0" fontId="24" fillId="38" borderId="2" xfId="0" applyFont="1" applyFill="1" applyBorder="1"/>
    <xf numFmtId="0" fontId="27" fillId="12" borderId="2" xfId="0" applyFont="1" applyFill="1" applyBorder="1"/>
    <xf numFmtId="0" fontId="27" fillId="11" borderId="2" xfId="0" applyFont="1" applyFill="1" applyBorder="1" applyAlignment="1">
      <alignment horizontal="left"/>
    </xf>
    <xf numFmtId="0" fontId="27" fillId="13" borderId="2" xfId="0" applyFont="1" applyFill="1" applyBorder="1" applyAlignment="1">
      <alignment horizontal="left"/>
    </xf>
    <xf numFmtId="0" fontId="27" fillId="13" borderId="2" xfId="0" applyFont="1" applyFill="1" applyBorder="1"/>
    <xf numFmtId="1" fontId="27" fillId="13" borderId="2" xfId="0" applyNumberFormat="1" applyFont="1" applyFill="1" applyBorder="1"/>
    <xf numFmtId="0" fontId="28" fillId="0" borderId="2" xfId="0" applyFont="1" applyBorder="1"/>
    <xf numFmtId="0" fontId="26" fillId="12" borderId="44" xfId="0" applyFont="1" applyFill="1" applyBorder="1" applyAlignment="1">
      <alignment horizontal="left"/>
    </xf>
    <xf numFmtId="167" fontId="29" fillId="2" borderId="41" xfId="0" applyNumberFormat="1" applyFont="1" applyFill="1" applyBorder="1" applyAlignment="1">
      <alignment horizontal="center" vertical="center"/>
    </xf>
    <xf numFmtId="0" fontId="29" fillId="2" borderId="45" xfId="0" applyFont="1" applyFill="1" applyBorder="1" applyAlignment="1">
      <alignment horizontal="center" vertical="center"/>
    </xf>
    <xf numFmtId="2" fontId="29" fillId="2" borderId="45" xfId="0" applyNumberFormat="1" applyFont="1" applyFill="1" applyBorder="1" applyAlignment="1">
      <alignment horizontal="center" vertical="center"/>
    </xf>
    <xf numFmtId="9" fontId="29" fillId="2" borderId="45" xfId="1" applyFont="1" applyFill="1" applyBorder="1" applyAlignment="1">
      <alignment horizontal="center" vertical="center"/>
    </xf>
    <xf numFmtId="0" fontId="29" fillId="2" borderId="45" xfId="0" applyFont="1" applyFill="1" applyBorder="1" applyAlignment="1">
      <alignment horizontal="left" vertical="center"/>
    </xf>
    <xf numFmtId="167" fontId="10" fillId="0" borderId="46" xfId="0" applyNumberFormat="1" applyFont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10" fontId="10" fillId="0" borderId="2" xfId="1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167" fontId="10" fillId="11" borderId="46" xfId="0" applyNumberFormat="1" applyFont="1" applyFill="1" applyBorder="1" applyAlignment="1">
      <alignment horizontal="center" vertical="center"/>
    </xf>
    <xf numFmtId="15" fontId="10" fillId="11" borderId="2" xfId="0" applyNumberFormat="1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 vertical="center"/>
    </xf>
    <xf numFmtId="10" fontId="10" fillId="11" borderId="2" xfId="1" applyNumberFormat="1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left" vertical="center"/>
    </xf>
    <xf numFmtId="167" fontId="10" fillId="11" borderId="40" xfId="0" applyNumberFormat="1" applyFont="1" applyFill="1" applyBorder="1" applyAlignment="1">
      <alignment horizontal="center" vertical="center"/>
    </xf>
    <xf numFmtId="15" fontId="10" fillId="11" borderId="47" xfId="0" applyNumberFormat="1" applyFont="1" applyFill="1" applyBorder="1" applyAlignment="1">
      <alignment horizontal="center" vertical="center"/>
    </xf>
    <xf numFmtId="0" fontId="30" fillId="11" borderId="47" xfId="0" applyFont="1" applyFill="1" applyBorder="1" applyAlignment="1">
      <alignment horizontal="center" vertical="center"/>
    </xf>
    <xf numFmtId="0" fontId="10" fillId="11" borderId="47" xfId="0" applyFont="1" applyFill="1" applyBorder="1" applyAlignment="1">
      <alignment horizontal="center" vertical="center"/>
    </xf>
    <xf numFmtId="2" fontId="10" fillId="11" borderId="47" xfId="0" applyNumberFormat="1" applyFont="1" applyFill="1" applyBorder="1" applyAlignment="1">
      <alignment horizontal="center" vertical="center"/>
    </xf>
    <xf numFmtId="10" fontId="10" fillId="11" borderId="47" xfId="1" applyNumberFormat="1" applyFont="1" applyFill="1" applyBorder="1" applyAlignment="1">
      <alignment horizontal="center" vertical="center"/>
    </xf>
    <xf numFmtId="0" fontId="10" fillId="11" borderId="47" xfId="0" applyFont="1" applyFill="1" applyBorder="1" applyAlignment="1">
      <alignment horizontal="left" vertical="center"/>
    </xf>
    <xf numFmtId="0" fontId="31" fillId="10" borderId="45" xfId="0" applyFont="1" applyFill="1" applyBorder="1" applyAlignment="1">
      <alignment horizontal="center" vertical="center"/>
    </xf>
    <xf numFmtId="165" fontId="10" fillId="0" borderId="42" xfId="0" applyNumberFormat="1" applyFont="1" applyBorder="1"/>
    <xf numFmtId="165" fontId="10" fillId="0" borderId="43" xfId="0" applyNumberFormat="1" applyFont="1" applyBorder="1"/>
    <xf numFmtId="0" fontId="19" fillId="11" borderId="20" xfId="0" applyFont="1" applyFill="1" applyBorder="1" applyAlignment="1">
      <alignment horizontal="center" vertical="center"/>
    </xf>
    <xf numFmtId="0" fontId="32" fillId="11" borderId="39" xfId="0" applyFont="1" applyFill="1" applyBorder="1" applyAlignment="1">
      <alignment horizontal="center" vertical="center"/>
    </xf>
    <xf numFmtId="2" fontId="32" fillId="11" borderId="39" xfId="0" applyNumberFormat="1" applyFont="1" applyFill="1" applyBorder="1" applyAlignment="1">
      <alignment horizontal="center" vertical="center"/>
    </xf>
    <xf numFmtId="1" fontId="32" fillId="11" borderId="39" xfId="0" applyNumberFormat="1" applyFont="1" applyFill="1" applyBorder="1" applyAlignment="1">
      <alignment horizontal="center" vertical="center"/>
    </xf>
    <xf numFmtId="1" fontId="32" fillId="11" borderId="39" xfId="1" applyNumberFormat="1" applyFont="1" applyFill="1" applyBorder="1" applyAlignment="1">
      <alignment horizontal="center" vertical="center"/>
    </xf>
    <xf numFmtId="9" fontId="19" fillId="11" borderId="39" xfId="1" applyFont="1" applyFill="1" applyBorder="1" applyAlignment="1">
      <alignment horizontal="center" vertical="center"/>
    </xf>
    <xf numFmtId="10" fontId="32" fillId="11" borderId="39" xfId="1" applyNumberFormat="1" applyFont="1" applyFill="1" applyBorder="1" applyAlignment="1">
      <alignment horizontal="center" vertical="center"/>
    </xf>
    <xf numFmtId="0" fontId="32" fillId="11" borderId="18" xfId="0" applyFont="1" applyFill="1" applyBorder="1" applyAlignment="1">
      <alignment horizontal="center" vertical="center"/>
    </xf>
    <xf numFmtId="168" fontId="32" fillId="11" borderId="39" xfId="0" applyNumberFormat="1" applyFont="1" applyFill="1" applyBorder="1" applyAlignment="1">
      <alignment horizontal="center" vertical="center"/>
    </xf>
    <xf numFmtId="17" fontId="5" fillId="0" borderId="28" xfId="0" applyNumberFormat="1" applyFont="1" applyBorder="1" applyAlignment="1">
      <alignment horizontal="center" vertical="center"/>
    </xf>
    <xf numFmtId="0" fontId="7" fillId="28" borderId="37" xfId="0" applyFont="1" applyFill="1" applyBorder="1" applyAlignment="1">
      <alignment wrapText="1"/>
    </xf>
    <xf numFmtId="0" fontId="8" fillId="40" borderId="0" xfId="0" applyFont="1" applyFill="1" applyAlignment="1">
      <alignment wrapText="1"/>
    </xf>
    <xf numFmtId="0" fontId="6" fillId="13" borderId="18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12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5" fillId="41" borderId="11" xfId="0" applyFont="1" applyFill="1" applyBorder="1" applyAlignment="1">
      <alignment horizontal="center" vertical="center"/>
    </xf>
    <xf numFmtId="0" fontId="5" fillId="41" borderId="13" xfId="0" applyFont="1" applyFill="1" applyBorder="1" applyAlignment="1">
      <alignment horizontal="center" vertical="center"/>
    </xf>
    <xf numFmtId="0" fontId="5" fillId="41" borderId="12" xfId="0" applyFont="1" applyFill="1" applyBorder="1" applyAlignment="1">
      <alignment horizontal="center" vertical="center"/>
    </xf>
    <xf numFmtId="17" fontId="2" fillId="11" borderId="24" xfId="0" applyNumberFormat="1" applyFont="1" applyFill="1" applyBorder="1" applyAlignment="1">
      <alignment horizontal="center" vertical="center"/>
    </xf>
    <xf numFmtId="0" fontId="12" fillId="4" borderId="1" xfId="0" applyFont="1" applyFill="1" applyBorder="1"/>
    <xf numFmtId="0" fontId="25" fillId="9" borderId="2" xfId="0" applyFont="1" applyFill="1" applyBorder="1"/>
    <xf numFmtId="164" fontId="16" fillId="25" borderId="4" xfId="2" applyNumberFormat="1" applyFont="1" applyFill="1" applyBorder="1" applyAlignment="1">
      <alignment horizontal="center" vertical="center" wrapText="1"/>
    </xf>
    <xf numFmtId="164" fontId="19" fillId="11" borderId="39" xfId="2" applyNumberFormat="1" applyFont="1" applyFill="1" applyBorder="1" applyAlignment="1">
      <alignment horizontal="center" vertical="center"/>
    </xf>
    <xf numFmtId="164" fontId="0" fillId="0" borderId="0" xfId="2" applyNumberFormat="1" applyFont="1"/>
    <xf numFmtId="17" fontId="5" fillId="0" borderId="48" xfId="0" applyNumberFormat="1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36" fillId="21" borderId="4" xfId="0" applyFont="1" applyFill="1" applyBorder="1" applyAlignment="1">
      <alignment horizontal="center" vertical="center" wrapText="1"/>
    </xf>
    <xf numFmtId="0" fontId="37" fillId="42" borderId="39" xfId="0" applyFont="1" applyFill="1" applyBorder="1" applyAlignment="1">
      <alignment horizontal="center" vertical="center"/>
    </xf>
    <xf numFmtId="0" fontId="38" fillId="0" borderId="0" xfId="0" applyFont="1"/>
    <xf numFmtId="0" fontId="19" fillId="11" borderId="39" xfId="2" applyNumberFormat="1" applyFont="1" applyFill="1" applyBorder="1" applyAlignment="1">
      <alignment horizontal="center" vertical="center"/>
    </xf>
    <xf numFmtId="164" fontId="16" fillId="25" borderId="4" xfId="0" applyNumberFormat="1" applyFont="1" applyFill="1" applyBorder="1" applyAlignment="1">
      <alignment horizontal="center" vertical="center" wrapText="1"/>
    </xf>
    <xf numFmtId="9" fontId="10" fillId="0" borderId="10" xfId="1" applyFont="1" applyBorder="1"/>
    <xf numFmtId="0" fontId="26" fillId="43" borderId="2" xfId="0" applyFont="1" applyFill="1" applyBorder="1"/>
    <xf numFmtId="0" fontId="27" fillId="43" borderId="2" xfId="0" applyFont="1" applyFill="1" applyBorder="1"/>
    <xf numFmtId="1" fontId="27" fillId="43" borderId="2" xfId="0" applyNumberFormat="1" applyFont="1" applyFill="1" applyBorder="1"/>
    <xf numFmtId="0" fontId="16" fillId="21" borderId="13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6" fillId="21" borderId="4" xfId="0" applyFont="1" applyFill="1" applyBorder="1" applyAlignment="1">
      <alignment horizontal="left" vertical="center" wrapText="1"/>
    </xf>
    <xf numFmtId="0" fontId="28" fillId="11" borderId="0" xfId="0" applyFont="1" applyFill="1"/>
    <xf numFmtId="0" fontId="28" fillId="11" borderId="7" xfId="0" applyFont="1" applyFill="1" applyBorder="1"/>
    <xf numFmtId="0" fontId="28" fillId="11" borderId="12" xfId="0" applyFont="1" applyFill="1" applyBorder="1"/>
    <xf numFmtId="0" fontId="24" fillId="5" borderId="51" xfId="0" applyFont="1" applyFill="1" applyBorder="1" applyAlignment="1">
      <alignment horizontal="center"/>
    </xf>
    <xf numFmtId="0" fontId="24" fillId="45" borderId="51" xfId="0" applyFont="1" applyFill="1" applyBorder="1" applyAlignment="1">
      <alignment horizontal="center"/>
    </xf>
    <xf numFmtId="0" fontId="24" fillId="19" borderId="51" xfId="0" applyFont="1" applyFill="1" applyBorder="1" applyAlignment="1">
      <alignment horizontal="center"/>
    </xf>
    <xf numFmtId="0" fontId="24" fillId="3" borderId="51" xfId="0" applyFont="1" applyFill="1" applyBorder="1" applyAlignment="1">
      <alignment horizontal="center"/>
    </xf>
    <xf numFmtId="0" fontId="28" fillId="11" borderId="2" xfId="0" applyFont="1" applyFill="1" applyBorder="1"/>
    <xf numFmtId="17" fontId="28" fillId="0" borderId="2" xfId="0" applyNumberFormat="1" applyFont="1" applyBorder="1"/>
    <xf numFmtId="0" fontId="28" fillId="11" borderId="2" xfId="0" applyFont="1" applyFill="1" applyBorder="1" applyAlignment="1">
      <alignment horizontal="center" vertical="center"/>
    </xf>
    <xf numFmtId="0" fontId="28" fillId="12" borderId="6" xfId="0" applyFont="1" applyFill="1" applyBorder="1"/>
    <xf numFmtId="0" fontId="28" fillId="38" borderId="9" xfId="0" applyFont="1" applyFill="1" applyBorder="1"/>
    <xf numFmtId="0" fontId="25" fillId="5" borderId="11" xfId="0" applyFont="1" applyFill="1" applyBorder="1"/>
    <xf numFmtId="0" fontId="25" fillId="4" borderId="11" xfId="0" applyFont="1" applyFill="1" applyBorder="1"/>
    <xf numFmtId="165" fontId="10" fillId="0" borderId="12" xfId="0" applyNumberFormat="1" applyFont="1" applyBorder="1"/>
    <xf numFmtId="9" fontId="10" fillId="0" borderId="13" xfId="0" applyNumberFormat="1" applyFont="1" applyBorder="1"/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9" fontId="10" fillId="0" borderId="7" xfId="1" applyFont="1" applyBorder="1" applyAlignment="1">
      <alignment horizontal="center" vertical="center" wrapText="1"/>
    </xf>
    <xf numFmtId="0" fontId="28" fillId="11" borderId="2" xfId="0" applyFont="1" applyFill="1" applyBorder="1" applyAlignment="1">
      <alignment horizontal="center"/>
    </xf>
    <xf numFmtId="0" fontId="27" fillId="15" borderId="2" xfId="0" applyFont="1" applyFill="1" applyBorder="1" applyAlignment="1">
      <alignment horizontal="center" vertical="center"/>
    </xf>
    <xf numFmtId="0" fontId="27" fillId="13" borderId="2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19" borderId="2" xfId="0" applyFont="1" applyFill="1" applyBorder="1" applyAlignment="1">
      <alignment horizontal="center" vertical="center"/>
    </xf>
    <xf numFmtId="0" fontId="28" fillId="28" borderId="2" xfId="0" applyFont="1" applyFill="1" applyBorder="1" applyAlignment="1">
      <alignment horizontal="center"/>
    </xf>
    <xf numFmtId="0" fontId="24" fillId="19" borderId="2" xfId="0" applyFont="1" applyFill="1" applyBorder="1" applyAlignment="1">
      <alignment horizontal="center"/>
    </xf>
    <xf numFmtId="0" fontId="28" fillId="28" borderId="2" xfId="0" applyFont="1" applyFill="1" applyBorder="1" applyAlignment="1">
      <alignment horizontal="center" vertical="center"/>
    </xf>
    <xf numFmtId="0" fontId="26" fillId="15" borderId="2" xfId="0" applyFont="1" applyFill="1" applyBorder="1" applyAlignment="1">
      <alignment horizontal="center" vertical="center"/>
    </xf>
    <xf numFmtId="0" fontId="26" fillId="13" borderId="2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19" borderId="2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4" fillId="2" borderId="55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6" fillId="10" borderId="56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17" fontId="2" fillId="11" borderId="57" xfId="0" applyNumberFormat="1" applyFont="1" applyFill="1" applyBorder="1" applyAlignment="1">
      <alignment horizontal="center" vertical="center"/>
    </xf>
    <xf numFmtId="1" fontId="2" fillId="11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/>
    </xf>
    <xf numFmtId="0" fontId="6" fillId="48" borderId="2" xfId="0" applyFont="1" applyFill="1" applyBorder="1" applyAlignment="1">
      <alignment horizontal="left" vertical="center"/>
    </xf>
    <xf numFmtId="0" fontId="2" fillId="46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left" vertical="center"/>
    </xf>
    <xf numFmtId="0" fontId="2" fillId="46" borderId="2" xfId="0" applyFont="1" applyFill="1" applyBorder="1" applyAlignment="1">
      <alignment horizontal="left" vertical="center"/>
    </xf>
    <xf numFmtId="1" fontId="2" fillId="6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6" fillId="48" borderId="2" xfId="0" applyFont="1" applyFill="1" applyBorder="1" applyAlignment="1">
      <alignment horizontal="left" vertical="center" wrapText="1"/>
    </xf>
    <xf numFmtId="0" fontId="2" fillId="46" borderId="2" xfId="0" applyFont="1" applyFill="1" applyBorder="1" applyAlignment="1">
      <alignment horizontal="center" vertical="center" wrapText="1"/>
    </xf>
    <xf numFmtId="0" fontId="25" fillId="11" borderId="0" xfId="0" applyFont="1" applyFill="1" applyAlignment="1">
      <alignment horizontal="center"/>
    </xf>
    <xf numFmtId="0" fontId="28" fillId="11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25" fillId="49" borderId="19" xfId="0" applyFont="1" applyFill="1" applyBorder="1"/>
    <xf numFmtId="0" fontId="25" fillId="49" borderId="18" xfId="0" applyFont="1" applyFill="1" applyBorder="1"/>
    <xf numFmtId="0" fontId="41" fillId="49" borderId="19" xfId="0" applyFont="1" applyFill="1" applyBorder="1"/>
    <xf numFmtId="0" fontId="24" fillId="49" borderId="19" xfId="0" applyFont="1" applyFill="1" applyBorder="1" applyAlignment="1">
      <alignment horizontal="right"/>
    </xf>
    <xf numFmtId="17" fontId="24" fillId="49" borderId="19" xfId="0" applyNumberFormat="1" applyFont="1" applyFill="1" applyBorder="1" applyAlignment="1">
      <alignment horizontal="left"/>
    </xf>
    <xf numFmtId="0" fontId="25" fillId="49" borderId="20" xfId="0" applyFont="1" applyFill="1" applyBorder="1"/>
    <xf numFmtId="0" fontId="41" fillId="49" borderId="19" xfId="0" applyFont="1" applyFill="1" applyBorder="1" applyAlignment="1">
      <alignment horizontal="right"/>
    </xf>
    <xf numFmtId="0" fontId="42" fillId="11" borderId="0" xfId="0" applyFont="1" applyFill="1"/>
    <xf numFmtId="0" fontId="24" fillId="49" borderId="3" xfId="0" applyFont="1" applyFill="1" applyBorder="1" applyAlignment="1">
      <alignment horizontal="center" vertical="center"/>
    </xf>
    <xf numFmtId="165" fontId="26" fillId="44" borderId="52" xfId="0" applyNumberFormat="1" applyFont="1" applyFill="1" applyBorder="1" applyAlignment="1">
      <alignment horizontal="center"/>
    </xf>
    <xf numFmtId="165" fontId="25" fillId="11" borderId="0" xfId="0" applyNumberFormat="1" applyFont="1" applyFill="1" applyAlignment="1">
      <alignment horizontal="center"/>
    </xf>
    <xf numFmtId="9" fontId="26" fillId="44" borderId="39" xfId="1" applyFont="1" applyFill="1" applyBorder="1" applyAlignment="1">
      <alignment horizontal="center"/>
    </xf>
    <xf numFmtId="0" fontId="24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40" fillId="11" borderId="0" xfId="0" applyFont="1" applyFill="1" applyAlignment="1">
      <alignment horizontal="center" vertical="center"/>
    </xf>
    <xf numFmtId="0" fontId="43" fillId="11" borderId="0" xfId="0" applyFont="1" applyFill="1" applyAlignment="1">
      <alignment horizontal="center" vertical="center"/>
    </xf>
    <xf numFmtId="0" fontId="41" fillId="15" borderId="0" xfId="0" applyFont="1" applyFill="1" applyAlignment="1">
      <alignment horizontal="center"/>
    </xf>
    <xf numFmtId="0" fontId="25" fillId="15" borderId="0" xfId="0" applyFont="1" applyFill="1"/>
    <xf numFmtId="0" fontId="41" fillId="15" borderId="0" xfId="0" applyFont="1" applyFill="1" applyAlignment="1">
      <alignment horizontal="center" vertical="center"/>
    </xf>
    <xf numFmtId="0" fontId="39" fillId="15" borderId="0" xfId="0" applyFont="1" applyFill="1" applyAlignment="1">
      <alignment horizontal="center" vertical="center"/>
    </xf>
    <xf numFmtId="0" fontId="24" fillId="50" borderId="52" xfId="0" applyFont="1" applyFill="1" applyBorder="1" applyAlignment="1">
      <alignment horizontal="center"/>
    </xf>
    <xf numFmtId="0" fontId="24" fillId="51" borderId="52" xfId="0" applyFont="1" applyFill="1" applyBorder="1" applyAlignment="1">
      <alignment horizontal="center"/>
    </xf>
    <xf numFmtId="9" fontId="10" fillId="0" borderId="12" xfId="1" applyFont="1" applyBorder="1"/>
    <xf numFmtId="9" fontId="10" fillId="0" borderId="13" xfId="1" applyFont="1" applyBorder="1"/>
    <xf numFmtId="0" fontId="5" fillId="0" borderId="0" xfId="0" applyFont="1" applyAlignment="1">
      <alignment horizontal="center" vertical="center"/>
    </xf>
    <xf numFmtId="0" fontId="5" fillId="41" borderId="0" xfId="0" applyFont="1" applyFill="1" applyAlignment="1">
      <alignment horizontal="center" vertical="center"/>
    </xf>
    <xf numFmtId="10" fontId="16" fillId="26" borderId="0" xfId="1" applyNumberFormat="1" applyFont="1" applyFill="1" applyBorder="1" applyAlignment="1">
      <alignment horizontal="center" vertical="center" wrapText="1"/>
    </xf>
    <xf numFmtId="0" fontId="16" fillId="35" borderId="10" xfId="0" applyFont="1" applyFill="1" applyBorder="1" applyAlignment="1">
      <alignment horizontal="left" vertical="center" wrapText="1"/>
    </xf>
    <xf numFmtId="0" fontId="16" fillId="35" borderId="52" xfId="0" applyFont="1" applyFill="1" applyBorder="1" applyAlignment="1">
      <alignment horizontal="left" vertical="center" wrapText="1"/>
    </xf>
    <xf numFmtId="0" fontId="16" fillId="22" borderId="52" xfId="0" applyFont="1" applyFill="1" applyBorder="1" applyAlignment="1">
      <alignment horizontal="center" vertical="center" wrapText="1"/>
    </xf>
    <xf numFmtId="1" fontId="16" fillId="22" borderId="52" xfId="0" applyNumberFormat="1" applyFont="1" applyFill="1" applyBorder="1" applyAlignment="1">
      <alignment horizontal="center" vertical="center" wrapText="1"/>
    </xf>
    <xf numFmtId="10" fontId="16" fillId="5" borderId="52" xfId="1" applyNumberFormat="1" applyFont="1" applyFill="1" applyBorder="1" applyAlignment="1">
      <alignment horizontal="center" vertical="center" wrapText="1"/>
    </xf>
    <xf numFmtId="10" fontId="16" fillId="13" borderId="52" xfId="1" applyNumberFormat="1" applyFont="1" applyFill="1" applyBorder="1" applyAlignment="1">
      <alignment horizontal="center" vertical="center" wrapText="1"/>
    </xf>
    <xf numFmtId="10" fontId="16" fillId="23" borderId="52" xfId="1" applyNumberFormat="1" applyFont="1" applyFill="1" applyBorder="1" applyAlignment="1">
      <alignment horizontal="center" vertical="center" wrapText="1"/>
    </xf>
    <xf numFmtId="10" fontId="16" fillId="24" borderId="52" xfId="1" applyNumberFormat="1" applyFont="1" applyFill="1" applyBorder="1" applyAlignment="1">
      <alignment horizontal="center" vertical="center" wrapText="1"/>
    </xf>
    <xf numFmtId="0" fontId="16" fillId="25" borderId="52" xfId="0" applyFont="1" applyFill="1" applyBorder="1" applyAlignment="1">
      <alignment horizontal="center" vertical="center" wrapText="1"/>
    </xf>
    <xf numFmtId="1" fontId="16" fillId="25" borderId="52" xfId="0" applyNumberFormat="1" applyFont="1" applyFill="1" applyBorder="1" applyAlignment="1">
      <alignment horizontal="center" vertical="center" wrapText="1"/>
    </xf>
    <xf numFmtId="10" fontId="16" fillId="25" borderId="52" xfId="1" applyNumberFormat="1" applyFont="1" applyFill="1" applyBorder="1" applyAlignment="1">
      <alignment horizontal="center" vertical="center" wrapText="1"/>
    </xf>
    <xf numFmtId="10" fontId="16" fillId="26" borderId="9" xfId="1" applyNumberFormat="1" applyFont="1" applyFill="1" applyBorder="1" applyAlignment="1">
      <alignment horizontal="center" vertical="center" wrapText="1"/>
    </xf>
    <xf numFmtId="0" fontId="18" fillId="38" borderId="2" xfId="0" applyFont="1" applyFill="1" applyBorder="1" applyAlignment="1">
      <alignment horizontal="left" vertical="center"/>
    </xf>
    <xf numFmtId="0" fontId="17" fillId="38" borderId="2" xfId="0" applyFont="1" applyFill="1" applyBorder="1" applyAlignment="1">
      <alignment horizontal="left" vertical="center"/>
    </xf>
    <xf numFmtId="0" fontId="22" fillId="11" borderId="2" xfId="0" applyFont="1" applyFill="1" applyBorder="1" applyAlignment="1">
      <alignment horizontal="center" vertical="center"/>
    </xf>
    <xf numFmtId="2" fontId="22" fillId="11" borderId="2" xfId="0" applyNumberFormat="1" applyFont="1" applyFill="1" applyBorder="1" applyAlignment="1">
      <alignment horizontal="center" vertical="center"/>
    </xf>
    <xf numFmtId="1" fontId="22" fillId="11" borderId="2" xfId="0" applyNumberFormat="1" applyFont="1" applyFill="1" applyBorder="1" applyAlignment="1">
      <alignment horizontal="center" vertical="center"/>
    </xf>
    <xf numFmtId="1" fontId="22" fillId="11" borderId="2" xfId="1" applyNumberFormat="1" applyFont="1" applyFill="1" applyBorder="1" applyAlignment="1">
      <alignment horizontal="center" vertical="center"/>
    </xf>
    <xf numFmtId="1" fontId="17" fillId="11" borderId="2" xfId="0" applyNumberFormat="1" applyFont="1" applyFill="1" applyBorder="1" applyAlignment="1">
      <alignment horizontal="center" vertical="center"/>
    </xf>
    <xf numFmtId="2" fontId="22" fillId="11" borderId="2" xfId="1" applyNumberFormat="1" applyFont="1" applyFill="1" applyBorder="1" applyAlignment="1">
      <alignment horizontal="center" vertical="center"/>
    </xf>
    <xf numFmtId="2" fontId="23" fillId="11" borderId="2" xfId="0" applyNumberFormat="1" applyFont="1" applyFill="1" applyBorder="1" applyAlignment="1">
      <alignment horizontal="center" vertical="center"/>
    </xf>
    <xf numFmtId="9" fontId="23" fillId="11" borderId="2" xfId="1" applyFont="1" applyFill="1" applyBorder="1" applyAlignment="1">
      <alignment horizontal="center" vertical="center"/>
    </xf>
    <xf numFmtId="0" fontId="18" fillId="38" borderId="2" xfId="0" applyFont="1" applyFill="1" applyBorder="1" applyAlignment="1">
      <alignment horizontal="center" vertical="center"/>
    </xf>
    <xf numFmtId="0" fontId="22" fillId="11" borderId="2" xfId="1" applyNumberFormat="1" applyFont="1" applyFill="1" applyBorder="1" applyAlignment="1">
      <alignment horizontal="center" vertical="center"/>
    </xf>
    <xf numFmtId="10" fontId="22" fillId="11" borderId="2" xfId="1" applyNumberFormat="1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left" vertical="center"/>
    </xf>
    <xf numFmtId="0" fontId="16" fillId="8" borderId="2" xfId="0" applyFont="1" applyFill="1" applyBorder="1" applyAlignment="1">
      <alignment horizontal="left" vertical="center"/>
    </xf>
    <xf numFmtId="0" fontId="20" fillId="8" borderId="2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left" vertical="center"/>
    </xf>
    <xf numFmtId="0" fontId="15" fillId="39" borderId="2" xfId="0" applyFont="1" applyFill="1" applyBorder="1" applyAlignment="1">
      <alignment horizontal="left" vertical="center"/>
    </xf>
    <xf numFmtId="0" fontId="16" fillId="39" borderId="2" xfId="0" applyFont="1" applyFill="1" applyBorder="1" applyAlignment="1">
      <alignment horizontal="left" vertical="center"/>
    </xf>
    <xf numFmtId="0" fontId="17" fillId="11" borderId="2" xfId="0" applyFont="1" applyFill="1" applyBorder="1" applyAlignment="1">
      <alignment horizontal="center" vertical="center"/>
    </xf>
    <xf numFmtId="2" fontId="17" fillId="11" borderId="2" xfId="0" applyNumberFormat="1" applyFont="1" applyFill="1" applyBorder="1" applyAlignment="1">
      <alignment horizontal="center" vertical="center"/>
    </xf>
    <xf numFmtId="1" fontId="17" fillId="11" borderId="2" xfId="1" applyNumberFormat="1" applyFont="1" applyFill="1" applyBorder="1" applyAlignment="1">
      <alignment horizontal="center" vertical="center"/>
    </xf>
    <xf numFmtId="2" fontId="17" fillId="11" borderId="2" xfId="1" applyNumberFormat="1" applyFont="1" applyFill="1" applyBorder="1" applyAlignment="1">
      <alignment horizontal="center" vertical="center"/>
    </xf>
    <xf numFmtId="2" fontId="18" fillId="11" borderId="2" xfId="0" applyNumberFormat="1" applyFont="1" applyFill="1" applyBorder="1" applyAlignment="1">
      <alignment horizontal="center" vertical="center"/>
    </xf>
    <xf numFmtId="9" fontId="18" fillId="11" borderId="2" xfId="1" applyFont="1" applyFill="1" applyBorder="1" applyAlignment="1">
      <alignment horizontal="center" vertical="center"/>
    </xf>
    <xf numFmtId="0" fontId="15" fillId="39" borderId="2" xfId="0" applyFont="1" applyFill="1" applyBorder="1" applyAlignment="1">
      <alignment horizontal="center" vertical="center"/>
    </xf>
    <xf numFmtId="0" fontId="17" fillId="11" borderId="2" xfId="1" applyNumberFormat="1" applyFont="1" applyFill="1" applyBorder="1" applyAlignment="1">
      <alignment horizontal="center" vertical="center"/>
    </xf>
    <xf numFmtId="10" fontId="17" fillId="11" borderId="2" xfId="1" applyNumberFormat="1" applyFont="1" applyFill="1" applyBorder="1" applyAlignment="1">
      <alignment horizontal="center" vertical="center"/>
    </xf>
    <xf numFmtId="0" fontId="20" fillId="39" borderId="2" xfId="0" applyFont="1" applyFill="1" applyBorder="1" applyAlignment="1">
      <alignment horizontal="left" vertical="center"/>
    </xf>
    <xf numFmtId="0" fontId="20" fillId="39" borderId="2" xfId="0" applyFont="1" applyFill="1" applyBorder="1" applyAlignment="1">
      <alignment horizontal="center" vertical="center"/>
    </xf>
    <xf numFmtId="0" fontId="15" fillId="47" borderId="2" xfId="0" applyFont="1" applyFill="1" applyBorder="1" applyAlignment="1">
      <alignment horizontal="left" vertical="center"/>
    </xf>
    <xf numFmtId="0" fontId="16" fillId="47" borderId="2" xfId="0" applyFont="1" applyFill="1" applyBorder="1" applyAlignment="1">
      <alignment horizontal="left" vertical="center"/>
    </xf>
    <xf numFmtId="0" fontId="15" fillId="47" borderId="2" xfId="0" applyFont="1" applyFill="1" applyBorder="1" applyAlignment="1">
      <alignment horizontal="center" vertical="center"/>
    </xf>
    <xf numFmtId="0" fontId="15" fillId="31" borderId="2" xfId="0" applyFont="1" applyFill="1" applyBorder="1" applyAlignment="1">
      <alignment horizontal="left" vertical="center"/>
    </xf>
    <xf numFmtId="0" fontId="16" fillId="31" borderId="2" xfId="0" applyFont="1" applyFill="1" applyBorder="1" applyAlignment="1">
      <alignment horizontal="left" vertical="center"/>
    </xf>
    <xf numFmtId="2" fontId="17" fillId="28" borderId="2" xfId="1" applyNumberFormat="1" applyFont="1" applyFill="1" applyBorder="1" applyAlignment="1">
      <alignment horizontal="center" vertical="center"/>
    </xf>
    <xf numFmtId="0" fontId="15" fillId="31" borderId="2" xfId="0" applyFont="1" applyFill="1" applyBorder="1" applyAlignment="1">
      <alignment horizontal="center" vertical="center"/>
    </xf>
    <xf numFmtId="168" fontId="17" fillId="11" borderId="2" xfId="0" applyNumberFormat="1" applyFont="1" applyFill="1" applyBorder="1" applyAlignment="1">
      <alignment horizontal="center" vertical="center"/>
    </xf>
    <xf numFmtId="0" fontId="15" fillId="30" borderId="2" xfId="0" applyFont="1" applyFill="1" applyBorder="1" applyAlignment="1">
      <alignment horizontal="left" vertical="center"/>
    </xf>
    <xf numFmtId="0" fontId="16" fillId="30" borderId="2" xfId="0" applyFont="1" applyFill="1" applyBorder="1" applyAlignment="1">
      <alignment horizontal="left" vertical="center"/>
    </xf>
    <xf numFmtId="0" fontId="15" fillId="30" borderId="2" xfId="0" applyFont="1" applyFill="1" applyBorder="1" applyAlignment="1">
      <alignment horizontal="center" vertical="center"/>
    </xf>
    <xf numFmtId="0" fontId="15" fillId="36" borderId="2" xfId="0" applyFont="1" applyFill="1" applyBorder="1" applyAlignment="1">
      <alignment horizontal="left" vertical="center"/>
    </xf>
    <xf numFmtId="0" fontId="16" fillId="36" borderId="2" xfId="0" applyFont="1" applyFill="1" applyBorder="1" applyAlignment="1">
      <alignment horizontal="left" vertical="center"/>
    </xf>
    <xf numFmtId="0" fontId="15" fillId="36" borderId="2" xfId="0" applyFont="1" applyFill="1" applyBorder="1" applyAlignment="1">
      <alignment horizontal="center" vertical="center"/>
    </xf>
    <xf numFmtId="0" fontId="18" fillId="34" borderId="2" xfId="0" applyFont="1" applyFill="1" applyBorder="1" applyAlignment="1">
      <alignment horizontal="left" vertical="center"/>
    </xf>
    <xf numFmtId="0" fontId="17" fillId="34" borderId="2" xfId="0" applyFont="1" applyFill="1" applyBorder="1" applyAlignment="1">
      <alignment horizontal="left" vertical="center"/>
    </xf>
    <xf numFmtId="0" fontId="18" fillId="34" borderId="2" xfId="0" applyFont="1" applyFill="1" applyBorder="1" applyAlignment="1">
      <alignment horizontal="center" vertical="center"/>
    </xf>
    <xf numFmtId="0" fontId="15" fillId="32" borderId="2" xfId="0" applyFont="1" applyFill="1" applyBorder="1" applyAlignment="1">
      <alignment horizontal="left" vertical="center"/>
    </xf>
    <xf numFmtId="0" fontId="16" fillId="32" borderId="2" xfId="0" applyFont="1" applyFill="1" applyBorder="1" applyAlignment="1">
      <alignment horizontal="left" vertical="center"/>
    </xf>
    <xf numFmtId="0" fontId="15" fillId="32" borderId="2" xfId="0" applyFont="1" applyFill="1" applyBorder="1" applyAlignment="1">
      <alignment horizontal="center" vertical="center"/>
    </xf>
    <xf numFmtId="0" fontId="15" fillId="27" borderId="2" xfId="0" applyFont="1" applyFill="1" applyBorder="1" applyAlignment="1">
      <alignment horizontal="left" vertical="center"/>
    </xf>
    <xf numFmtId="0" fontId="16" fillId="27" borderId="2" xfId="0" applyFont="1" applyFill="1" applyBorder="1" applyAlignment="1">
      <alignment horizontal="left" vertical="center"/>
    </xf>
    <xf numFmtId="0" fontId="15" fillId="27" borderId="2" xfId="0" applyFont="1" applyFill="1" applyBorder="1" applyAlignment="1">
      <alignment horizontal="center" vertical="center"/>
    </xf>
    <xf numFmtId="0" fontId="15" fillId="33" borderId="2" xfId="0" applyFont="1" applyFill="1" applyBorder="1" applyAlignment="1">
      <alignment horizontal="left" vertical="center"/>
    </xf>
    <xf numFmtId="0" fontId="16" fillId="33" borderId="2" xfId="0" applyFont="1" applyFill="1" applyBorder="1" applyAlignment="1">
      <alignment horizontal="left" vertical="center"/>
    </xf>
    <xf numFmtId="0" fontId="15" fillId="33" borderId="2" xfId="0" applyFont="1" applyFill="1" applyBorder="1" applyAlignment="1">
      <alignment horizontal="center" vertical="center"/>
    </xf>
    <xf numFmtId="0" fontId="15" fillId="29" borderId="2" xfId="0" applyFont="1" applyFill="1" applyBorder="1" applyAlignment="1">
      <alignment horizontal="left" vertical="center"/>
    </xf>
    <xf numFmtId="0" fontId="16" fillId="29" borderId="2" xfId="0" applyFont="1" applyFill="1" applyBorder="1" applyAlignment="1">
      <alignment horizontal="left" vertical="center"/>
    </xf>
    <xf numFmtId="0" fontId="15" fillId="29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left" vertical="center"/>
    </xf>
    <xf numFmtId="0" fontId="16" fillId="20" borderId="2" xfId="0" applyFont="1" applyFill="1" applyBorder="1" applyAlignment="1">
      <alignment horizontal="left" vertical="center"/>
    </xf>
    <xf numFmtId="0" fontId="15" fillId="20" borderId="2" xfId="0" applyFont="1" applyFill="1" applyBorder="1" applyAlignment="1">
      <alignment horizontal="center" vertical="center"/>
    </xf>
    <xf numFmtId="0" fontId="10" fillId="0" borderId="0" xfId="0" applyFont="1"/>
    <xf numFmtId="0" fontId="10" fillId="35" borderId="0" xfId="0" applyFont="1" applyFill="1" applyAlignment="1">
      <alignment horizontal="center" vertical="center" wrapText="1"/>
    </xf>
    <xf numFmtId="0" fontId="10" fillId="53" borderId="18" xfId="0" applyFont="1" applyFill="1" applyBorder="1"/>
    <xf numFmtId="0" fontId="10" fillId="54" borderId="18" xfId="0" applyFont="1" applyFill="1" applyBorder="1"/>
    <xf numFmtId="9" fontId="10" fillId="11" borderId="19" xfId="0" applyNumberFormat="1" applyFont="1" applyFill="1" applyBorder="1"/>
    <xf numFmtId="0" fontId="10" fillId="55" borderId="18" xfId="0" applyFont="1" applyFill="1" applyBorder="1"/>
    <xf numFmtId="0" fontId="5" fillId="1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/>
    </xf>
    <xf numFmtId="165" fontId="10" fillId="52" borderId="9" xfId="0" applyNumberFormat="1" applyFont="1" applyFill="1" applyBorder="1"/>
    <xf numFmtId="9" fontId="10" fillId="52" borderId="0" xfId="1" applyFont="1" applyFill="1" applyBorder="1"/>
    <xf numFmtId="165" fontId="10" fillId="52" borderId="0" xfId="1" applyNumberFormat="1" applyFont="1" applyFill="1" applyBorder="1"/>
    <xf numFmtId="165" fontId="10" fillId="52" borderId="0" xfId="0" applyNumberFormat="1" applyFont="1" applyFill="1"/>
    <xf numFmtId="9" fontId="10" fillId="52" borderId="10" xfId="1" applyFont="1" applyFill="1" applyBorder="1"/>
    <xf numFmtId="165" fontId="10" fillId="53" borderId="9" xfId="0" applyNumberFormat="1" applyFont="1" applyFill="1" applyBorder="1"/>
    <xf numFmtId="9" fontId="10" fillId="53" borderId="0" xfId="1" applyFont="1" applyFill="1" applyBorder="1"/>
    <xf numFmtId="165" fontId="10" fillId="53" borderId="0" xfId="1" applyNumberFormat="1" applyFont="1" applyFill="1" applyBorder="1"/>
    <xf numFmtId="165" fontId="10" fillId="53" borderId="0" xfId="0" applyNumberFormat="1" applyFont="1" applyFill="1"/>
    <xf numFmtId="9" fontId="10" fillId="53" borderId="10" xfId="1" applyFont="1" applyFill="1" applyBorder="1"/>
    <xf numFmtId="165" fontId="10" fillId="56" borderId="9" xfId="0" applyNumberFormat="1" applyFont="1" applyFill="1" applyBorder="1"/>
    <xf numFmtId="9" fontId="10" fillId="56" borderId="0" xfId="1" applyFont="1" applyFill="1" applyBorder="1"/>
    <xf numFmtId="165" fontId="10" fillId="56" borderId="0" xfId="1" applyNumberFormat="1" applyFont="1" applyFill="1" applyBorder="1"/>
    <xf numFmtId="165" fontId="10" fillId="56" borderId="0" xfId="0" applyNumberFormat="1" applyFont="1" applyFill="1"/>
    <xf numFmtId="9" fontId="10" fillId="56" borderId="10" xfId="1" applyFont="1" applyFill="1" applyBorder="1"/>
    <xf numFmtId="165" fontId="10" fillId="57" borderId="42" xfId="0" applyNumberFormat="1" applyFont="1" applyFill="1" applyBorder="1"/>
    <xf numFmtId="1" fontId="10" fillId="11" borderId="20" xfId="0" applyNumberFormat="1" applyFont="1" applyFill="1" applyBorder="1"/>
    <xf numFmtId="1" fontId="10" fillId="11" borderId="0" xfId="0" applyNumberFormat="1" applyFont="1" applyFill="1"/>
    <xf numFmtId="9" fontId="0" fillId="0" borderId="0" xfId="1" applyFont="1"/>
    <xf numFmtId="164" fontId="29" fillId="4" borderId="12" xfId="0" applyNumberFormat="1" applyFont="1" applyFill="1" applyBorder="1"/>
    <xf numFmtId="0" fontId="6" fillId="58" borderId="2" xfId="0" applyFont="1" applyFill="1" applyBorder="1" applyAlignment="1">
      <alignment horizontal="left" vertical="center"/>
    </xf>
    <xf numFmtId="0" fontId="2" fillId="28" borderId="2" xfId="0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left" vertical="center"/>
    </xf>
    <xf numFmtId="0" fontId="6" fillId="59" borderId="2" xfId="0" applyFont="1" applyFill="1" applyBorder="1" applyAlignment="1">
      <alignment horizontal="left" vertical="center"/>
    </xf>
    <xf numFmtId="0" fontId="2" fillId="44" borderId="2" xfId="0" applyFont="1" applyFill="1" applyBorder="1" applyAlignment="1">
      <alignment horizontal="center" vertical="center"/>
    </xf>
    <xf numFmtId="0" fontId="2" fillId="44" borderId="2" xfId="0" applyFont="1" applyFill="1" applyBorder="1" applyAlignment="1">
      <alignment horizontal="left" vertical="center"/>
    </xf>
    <xf numFmtId="43" fontId="28" fillId="11" borderId="8" xfId="2" applyFont="1" applyFill="1" applyBorder="1"/>
    <xf numFmtId="43" fontId="28" fillId="11" borderId="10" xfId="2" applyFont="1" applyFill="1" applyBorder="1"/>
    <xf numFmtId="43" fontId="28" fillId="11" borderId="13" xfId="2" applyFont="1" applyFill="1" applyBorder="1"/>
    <xf numFmtId="169" fontId="26" fillId="15" borderId="2" xfId="2" applyNumberFormat="1" applyFont="1" applyFill="1" applyBorder="1" applyAlignment="1">
      <alignment horizontal="center"/>
    </xf>
    <xf numFmtId="169" fontId="26" fillId="13" borderId="2" xfId="2" applyNumberFormat="1" applyFont="1" applyFill="1" applyBorder="1" applyAlignment="1">
      <alignment horizontal="center"/>
    </xf>
    <xf numFmtId="169" fontId="24" fillId="5" borderId="2" xfId="2" applyNumberFormat="1" applyFont="1" applyFill="1" applyBorder="1" applyAlignment="1">
      <alignment horizontal="center"/>
    </xf>
    <xf numFmtId="169" fontId="24" fillId="4" borderId="2" xfId="2" applyNumberFormat="1" applyFont="1" applyFill="1" applyBorder="1" applyAlignment="1">
      <alignment horizontal="center"/>
    </xf>
    <xf numFmtId="0" fontId="8" fillId="35" borderId="2" xfId="0" applyFont="1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horizontal="center" vertical="center"/>
    </xf>
    <xf numFmtId="0" fontId="2" fillId="11" borderId="45" xfId="0" applyFont="1" applyFill="1" applyBorder="1" applyAlignment="1">
      <alignment horizontal="center" vertical="center"/>
    </xf>
    <xf numFmtId="0" fontId="30" fillId="11" borderId="2" xfId="3" applyFont="1" applyFill="1" applyBorder="1" applyAlignment="1">
      <alignment horizontal="center" vertical="center"/>
    </xf>
    <xf numFmtId="0" fontId="30" fillId="11" borderId="47" xfId="3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8" fillId="38" borderId="58" xfId="0" applyFont="1" applyFill="1" applyBorder="1" applyAlignment="1">
      <alignment horizontal="center" vertical="center"/>
    </xf>
    <xf numFmtId="0" fontId="15" fillId="8" borderId="58" xfId="0" applyFont="1" applyFill="1" applyBorder="1" applyAlignment="1">
      <alignment horizontal="center" vertical="center"/>
    </xf>
    <xf numFmtId="0" fontId="15" fillId="39" borderId="58" xfId="0" applyFont="1" applyFill="1" applyBorder="1" applyAlignment="1">
      <alignment horizontal="center" vertical="center"/>
    </xf>
    <xf numFmtId="0" fontId="15" fillId="47" borderId="58" xfId="0" applyFont="1" applyFill="1" applyBorder="1" applyAlignment="1">
      <alignment horizontal="center" vertical="center"/>
    </xf>
    <xf numFmtId="0" fontId="10" fillId="0" borderId="47" xfId="0" applyFont="1" applyBorder="1" applyAlignment="1">
      <alignment horizontal="left" vertical="center"/>
    </xf>
    <xf numFmtId="169" fontId="28" fillId="11" borderId="2" xfId="0" applyNumberFormat="1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6" fillId="12" borderId="18" xfId="0" applyFont="1" applyFill="1" applyBorder="1" applyAlignment="1">
      <alignment horizontal="center" vertical="center"/>
    </xf>
    <xf numFmtId="0" fontId="6" fillId="12" borderId="19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11" fillId="15" borderId="0" xfId="0" applyFont="1" applyFill="1" applyAlignment="1">
      <alignment horizontal="center"/>
    </xf>
    <xf numFmtId="0" fontId="5" fillId="0" borderId="50" xfId="0" applyNumberFormat="1" applyFont="1" applyBorder="1" applyAlignment="1">
      <alignment horizontal="center" vertical="center"/>
    </xf>
    <xf numFmtId="0" fontId="10" fillId="11" borderId="0" xfId="0" applyNumberFormat="1" applyFont="1" applyFill="1" applyBorder="1"/>
    <xf numFmtId="0" fontId="16" fillId="27" borderId="2" xfId="0" applyNumberFormat="1" applyFont="1" applyFill="1" applyBorder="1" applyAlignment="1">
      <alignment horizontal="left" vertical="center"/>
    </xf>
    <xf numFmtId="0" fontId="17" fillId="11" borderId="2" xfId="0" applyNumberFormat="1" applyFont="1" applyFill="1" applyBorder="1" applyAlignment="1">
      <alignment horizontal="center" vertical="center"/>
    </xf>
    <xf numFmtId="9" fontId="18" fillId="11" borderId="2" xfId="1" applyNumberFormat="1" applyFont="1" applyFill="1" applyBorder="1" applyAlignment="1">
      <alignment horizontal="center" vertical="center"/>
    </xf>
    <xf numFmtId="0" fontId="15" fillId="27" borderId="2" xfId="0" applyNumberFormat="1" applyFont="1" applyFill="1" applyBorder="1" applyAlignment="1">
      <alignment horizontal="center" vertical="center"/>
    </xf>
    <xf numFmtId="0" fontId="16" fillId="36" borderId="2" xfId="0" applyNumberFormat="1" applyFont="1" applyFill="1" applyBorder="1" applyAlignment="1">
      <alignment horizontal="left" vertical="center"/>
    </xf>
    <xf numFmtId="0" fontId="0" fillId="0" borderId="58" xfId="0" applyBorder="1" applyAlignment="1">
      <alignment horizontal="center" vertical="center"/>
    </xf>
    <xf numFmtId="0" fontId="15" fillId="31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8" fillId="38" borderId="0" xfId="0" applyFont="1" applyFill="1" applyBorder="1" applyAlignment="1">
      <alignment horizontal="center" vertical="center"/>
    </xf>
    <xf numFmtId="0" fontId="28" fillId="11" borderId="2" xfId="0" applyNumberFormat="1" applyFont="1" applyFill="1" applyBorder="1"/>
    <xf numFmtId="0" fontId="28" fillId="11" borderId="49" xfId="0" applyNumberFormat="1" applyFont="1" applyFill="1" applyBorder="1"/>
  </cellXfs>
  <cellStyles count="4">
    <cellStyle name="Comma" xfId="2" builtinId="3"/>
    <cellStyle name="Normal" xfId="0" builtinId="0"/>
    <cellStyle name="Normal 2" xfId="3" xr:uid="{D93A2F9B-11A9-442F-8B72-D359EBDC0538}"/>
    <cellStyle name="Percent" xfId="1" builtinId="5"/>
  </cellStyles>
  <dxfs count="3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69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69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69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69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169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rgb="FFCC00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9900"/>
      </font>
      <fill>
        <patternFill>
          <bgColor theme="9" tint="0.3999450666829432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 patternType="gray0625"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9900"/>
      </font>
      <fill>
        <patternFill>
          <bgColor theme="9" tint="0.3999450666829432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3" formatCode="0%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65" formatCode="_ [$₹-4009]\ * #,##0_ ;_ [$₹-4009]\ * \-#,##0_ ;_ [$₹-4009]\ * &quot;-&quot;??_ ;_ @_ 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1"/>
        <scheme val="none"/>
      </font>
      <numFmt numFmtId="164" formatCode="_ [$₹-4009]\ * #,##0.00_ ;_ [$₹-4009]\ * \-#,##0.00_ ;_ [$₹-4009]\ * &quot;-&quot;??_ ;_ @_ 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3" formatCode="0%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64" formatCode="_ [$₹-4009]\ * #,##0.00_ ;_ [$₹-4009]\ * \-#,##0.00_ ;_ [$₹-4009]\ * &quot;-&quot;??_ ;_ @_ 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1"/>
        <scheme val="none"/>
      </font>
      <numFmt numFmtId="164" formatCode="_ [$₹-4009]\ * #,##0.00_ ;_ [$₹-4009]\ * \-#,##0.00_ ;_ [$₹-4009]\ * &quot;-&quot;??_ ;_ @_ "/>
      <fill>
        <patternFill patternType="solid">
          <fgColor indexed="64"/>
          <bgColor rgb="FF00B050"/>
        </patternFill>
      </fill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65" formatCode="_ [$₹-4009]\ * #,##0_ ;_ [$₹-4009]\ * \-#,##0_ ;_ [$₹-4009]\ * &quot;-&quot;??_ ;_ @_ 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1"/>
        <scheme val="none"/>
      </font>
      <fill>
        <patternFill patternType="solid">
          <fgColor indexed="64"/>
          <bgColor rgb="FF00B050"/>
        </patternFill>
      </fill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1"/>
        <scheme val="none"/>
      </font>
      <fill>
        <patternFill patternType="solid">
          <fgColor indexed="64"/>
          <bgColor rgb="FF00B050"/>
        </patternFill>
      </fill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rgb="FF0099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3" formatCode="0%"/>
      <fill>
        <patternFill patternType="solid">
          <fgColor indexed="64"/>
          <bgColor rgb="FF0099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rgb="FF0099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99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990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990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990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3" formatCode="0%"/>
      <fill>
        <patternFill patternType="solid">
          <fgColor indexed="64"/>
          <bgColor rgb="FF0099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rgb="FF0099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rgb="FF0000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00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00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00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FFCC00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FFCC00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FFCC00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FFCC00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sz val="9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 val="0"/>
        <strike val="0"/>
        <outline val="0"/>
        <shadow val="0"/>
        <u val="none"/>
        <vertAlign val="baseline"/>
        <sz val="9"/>
        <name val="Cambria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20" formatCode="dd/mmm/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67" formatCode="[$-409]d\-mmm\-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1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rgb="FFFF333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theme="4"/>
          <bgColor theme="8" tint="0.399975585192419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theme="4"/>
          <bgColor theme="8" tint="0.39997558519241921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rgb="FFFF333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rgb="FFFF333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rgb="FFFF333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rgb="FFFF333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rgb="FF00B05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rgb="FF00B05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rgb="FF00B05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rgb="FF00B05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rgb="FF00B05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rgb="FF00B05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rgb="FF00B05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6" tint="-0.249977111117893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border outline="0"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rgb="FF0099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rgb="FF0099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3" formatCode="0%"/>
      <fill>
        <patternFill patternType="solid">
          <fgColor indexed="64"/>
          <bgColor rgb="FF0099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3" formatCode="0%"/>
      <fill>
        <patternFill patternType="solid">
          <fgColor indexed="64"/>
          <bgColor rgb="FF0099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990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3" formatCode="0%"/>
      <fill>
        <patternFill patternType="solid">
          <fgColor indexed="64"/>
          <bgColor rgb="FF0099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64" formatCode="_ [$₹-4009]\ * #,##0.00_ ;_ [$₹-4009]\ * \-#,##0.00_ ;_ [$₹-4009]\ * &quot;-&quot;??_ ;_ @_ "/>
      <fill>
        <patternFill patternType="solid">
          <fgColor indexed="64"/>
          <bgColor rgb="FF0099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00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00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00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FFCC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FFCC0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FFCC0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right style="medium">
          <color rgb="FF000000"/>
        </right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numFmt numFmtId="166" formatCode="&quot;₹&quot;\ #,##0"/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6" formatCode="&quot;₹&quot;\ #,##0"/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8"/>
        </patternFill>
      </fill>
    </dxf>
    <dxf>
      <font>
        <strike val="0"/>
        <outline val="0"/>
        <shadow val="0"/>
        <u val="none"/>
        <vertAlign val="baseline"/>
        <sz val="9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9"/>
        <name val="Cambria"/>
        <family val="1"/>
        <scheme val="none"/>
      </font>
      <border diagonalUp="0" diagonalDown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Cambria"/>
        <family val="1"/>
        <scheme val="none"/>
      </font>
      <numFmt numFmtId="165" formatCode="_ [$₹-4009]\ * #,##0_ ;_ [$₹-4009]\ * \-#,##0_ ;_ [$₹-4009]\ * &quot;-&quot;??_ ;_ @_ "/>
    </dxf>
    <dxf>
      <font>
        <strike val="0"/>
        <outline val="0"/>
        <shadow val="0"/>
        <u val="none"/>
        <vertAlign val="baseline"/>
        <sz val="9"/>
        <name val="Cambria"/>
        <family val="1"/>
        <scheme val="none"/>
      </font>
      <numFmt numFmtId="165" formatCode="_ [$₹-4009]\ * #,##0_ ;_ [$₹-4009]\ * \-#,##0_ ;_ [$₹-4009]\ * &quot;-&quot;??_ ;_ @_ "/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65" formatCode="_ [$₹-4009]\ * #,##0_ ;_ [$₹-4009]\ * \-#,##0_ ;_ [$₹-4009]\ * &quot;-&quot;??_ ;_ @_ "/>
    </dxf>
    <dxf>
      <font>
        <strike val="0"/>
        <outline val="0"/>
        <shadow val="0"/>
        <u val="none"/>
        <vertAlign val="baseline"/>
        <sz val="9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9"/>
        <name val="Cambria"/>
        <family val="1"/>
        <scheme val="none"/>
      </font>
      <numFmt numFmtId="165" formatCode="_ [$₹-4009]\ * #,##0_ ;_ [$₹-4009]\ * \-#,##0_ ;_ [$₹-4009]\ * &quot;-&quot;??_ ;_ @_ 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65" formatCode="_ [$₹-4009]\ * #,##0_ ;_ [$₹-4009]\ * \-#,##0_ ;_ [$₹-4009]\ * &quot;-&quot;??_ ;_ @_ "/>
    </dxf>
    <dxf>
      <font>
        <strike val="0"/>
        <outline val="0"/>
        <shadow val="0"/>
        <u val="none"/>
        <vertAlign val="baseline"/>
        <sz val="9"/>
        <name val="Cambria"/>
        <family val="1"/>
        <scheme val="none"/>
      </font>
      <numFmt numFmtId="165" formatCode="_ [$₹-4009]\ * #,##0_ ;_ [$₹-4009]\ * \-#,##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65" formatCode="_ [$₹-4009]\ * #,##0_ ;_ [$₹-4009]\ * \-#,##0_ ;_ [$₹-4009]\ * &quot;-&quot;??_ ;_ @_ 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1"/>
        <scheme val="none"/>
      </font>
      <fill>
        <patternFill patternType="solid">
          <fgColor indexed="64"/>
          <bgColor rgb="FF00B050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mbria"/>
        <family val="1"/>
        <scheme val="none"/>
      </font>
      <fill>
        <patternFill patternType="solid">
          <fgColor indexed="64"/>
          <bgColor rgb="FF00B050"/>
        </patternFill>
      </fill>
      <alignment horizontal="general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9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9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9"/>
        <name val="Cambria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alignment horizontal="center" vertical="center" textRotation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mbri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9FF99"/>
      <color rgb="FFFF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gDrive\My%20Drive\01.My%20Documents\04.Finance\Trading\MyPortFolio.xlsx" TargetMode="External"/><Relationship Id="rId1" Type="http://schemas.openxmlformats.org/officeDocument/2006/relationships/externalLinkPath" Target="01.My%20Documents/04.Finance/Trading/My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Sheet1"/>
      <sheetName val="Sheet2"/>
      <sheetName val="Sheet3"/>
      <sheetName val="Sheet4"/>
      <sheetName val="Sheet5"/>
      <sheetName val="Sheet6"/>
      <sheetName val="Allocation"/>
      <sheetName val="LatestHoldingDump"/>
      <sheetName val="Ledger"/>
      <sheetName val="IntradayChart"/>
      <sheetName val="IntradayCalCulator"/>
      <sheetName val="intradayAnalysisChart"/>
      <sheetName val="IntradayCalCulator -5Points"/>
      <sheetName val="MyPortFol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Instrument</v>
          </cell>
        </row>
      </sheetData>
      <sheetData sheetId="9">
        <row r="2">
          <cell r="T2">
            <v>63</v>
          </cell>
          <cell r="U2">
            <v>25</v>
          </cell>
          <cell r="W2">
            <v>-8149.2208975002959</v>
          </cell>
          <cell r="X2">
            <v>0.70051268214285356</v>
          </cell>
          <cell r="Y2">
            <v>-2.0912607949000024</v>
          </cell>
        </row>
        <row r="3">
          <cell r="W3">
            <v>3882.4348999999984</v>
          </cell>
          <cell r="Z3">
            <v>12</v>
          </cell>
        </row>
      </sheetData>
      <sheetData sheetId="10"/>
      <sheetData sheetId="11"/>
      <sheetData sheetId="12"/>
      <sheetData sheetId="13"/>
      <sheetData sheetId="1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20CD19-F20F-4440-BE7B-33D39DA48FA2}" name="Table3" displayName="Table3" ref="B19:H26" totalsRowCount="1" headerRowDxfId="355" dataDxfId="354" totalsRowDxfId="353">
  <autoFilter ref="B19:H25" xr:uid="{8320CD19-F20F-4440-BE7B-33D39DA48FA2}"/>
  <tableColumns count="7">
    <tableColumn id="1" xr3:uid="{0A3B43D1-43E1-49B4-8119-89892D138C30}" name="Month" totalsRowLabel="Total" dataDxfId="59" totalsRowDxfId="6"/>
    <tableColumn id="2" xr3:uid="{97D85A55-CF10-41F3-B1A6-1E8C6EABDA1E}" name="Income" totalsRowFunction="sum" dataDxfId="58" totalsRowDxfId="5">
      <calculatedColumnFormula>_xlfn.IFNA(INDEX( IncomeTable[Total In Hand], MATCH(Table3[[#This Row],[Month]], IncomeTable[Month], 0) ),0)</calculatedColumnFormula>
    </tableColumn>
    <tableColumn id="3" xr3:uid="{6E976528-CD96-47F2-9775-0BB6B920FDBE}" name="Expense" totalsRowFunction="sum" dataDxfId="57" totalsRowDxfId="4">
      <calculatedColumnFormula>_xlfn.IFNA(INDEX( ExpenseTable[Actual  Expense], MATCH(Table3[[#This Row],[Month]], ExpenseTable[Month], 0) ),0)</calculatedColumnFormula>
    </tableColumn>
    <tableColumn id="4" xr3:uid="{C7C94719-AAAF-4EEE-9B18-09120E99B6C9}" name="Loan Repayment" totalsRowFunction="sum" dataDxfId="56" totalsRowDxfId="3">
      <calculatedColumnFormula>_xlfn.IFNA(INDEX( LoanTable[Total Loan], MATCH(Table3[[#This Row],[Month]], LoanTable[Month], 0) ),0)</calculatedColumnFormula>
    </tableColumn>
    <tableColumn id="5" xr3:uid="{9E7170A3-130D-4677-A1BA-0898EC244945}" name="Investment" totalsRowFunction="sum" dataDxfId="55" totalsRowDxfId="2">
      <calculatedColumnFormula>_xlfn.IFNA(INDEX( InvestmentTable[Total Investment], MATCH(Table3[[#This Row],[Month]], InvestmentTable[Entry Month], 0) ),0)</calculatedColumnFormula>
    </tableColumn>
    <tableColumn id="7" xr3:uid="{CA296347-6106-4265-8C4F-6BCFA0C83667}" name="Savings" totalsRowFunction="sum" dataDxfId="54" totalsRowDxfId="1">
      <calculatedColumnFormula>Table3[[#This Row],[Income]]-Table3[[#This Row],[Expense]]-Table3[[#This Row],[Loan Repayment]]-Table3[[#This Row],[Investment]]</calculatedColumnFormula>
    </tableColumn>
    <tableColumn id="6" xr3:uid="{5DBC3A4B-6DD5-4E33-9980-1B433359AB1D}" name="RBI Balance" dataDxfId="53" totalsRowDxfId="0">
      <calculatedColumnFormula>_xlfn.IFNA(INDEX(RBITable[Transactions], MATCH(Table3[[#This Row],[Month]],RBITable[Month],0)),"")</calculatedColumnFormula>
    </tableColumn>
  </tableColumns>
  <tableStyleInfo name="TableStyleLight20" showFirstColumn="1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C4DC86-EEE1-481A-96D2-69563025D523}" name="IncomeTable" displayName="IncomeTable" ref="B3:O10" totalsRowCount="1" headerRowDxfId="352" dataDxfId="351" totalsRowDxfId="350">
  <autoFilter ref="B3:O9" xr:uid="{7EC4DC86-EEE1-481A-96D2-69563025D523}"/>
  <tableColumns count="14">
    <tableColumn id="1" xr3:uid="{09A28622-9199-406E-8E31-53C1B9168C19}" name="Year" totalsRowLabel="Total" dataDxfId="349" totalsRowDxfId="225">
      <calculatedColumnFormula>TEXT(IncomeTable[[#This Row],[Month]],"YYYY")</calculatedColumnFormula>
    </tableColumn>
    <tableColumn id="2" xr3:uid="{E77D962D-E16A-4824-9559-614100EBC032}" name="Month" dataDxfId="348" totalsRowDxfId="224"/>
    <tableColumn id="15" xr3:uid="{2415567F-8443-4B16-A33C-7AFC860CEB3B}" name="Total In Hand" totalsRowFunction="sum" dataDxfId="347" totalsRowDxfId="223">
      <calculatedColumnFormula>SUM(IncomeTable[[#This Row],[Salary Credit]:[Loan Return]])-IncomeTable[[#This Row],[NPS Deduction]]-IncomeTable[[#This Row],[EPF Deduction]]</calculatedColumnFormula>
    </tableColumn>
    <tableColumn id="3" xr3:uid="{237CE928-071D-4CDF-B07C-B8B35FC03E40}" name="Salary Credit" totalsRowFunction="sum" dataDxfId="346" totalsRowDxfId="222"/>
    <tableColumn id="12" xr3:uid="{EE198171-7A96-43FE-9D17-0FA0BA4960A7}" name="NPS Deduction" totalsRowFunction="sum" dataDxfId="345" totalsRowDxfId="221"/>
    <tableColumn id="11" xr3:uid="{03FF1EED-931E-4B67-A955-555204AD7A4D}" name="EPF Deduction" totalsRowFunction="sum" dataDxfId="344" totalsRowDxfId="220"/>
    <tableColumn id="10" xr3:uid="{D3CA2DBE-8986-4C92-B3A3-0242B7DF5D6F}" name="EPF Loan Deduction" totalsRowFunction="sum" dataDxfId="343" totalsRowDxfId="219"/>
    <tableColumn id="13" xr3:uid="{968AA422-3D72-4428-B2A0-1EADCC3FB996}" name="Lease Phone Deduction" totalsRowFunction="sum" dataDxfId="342" totalsRowDxfId="218"/>
    <tableColumn id="14" xr3:uid="{A9136F1A-061C-4C63-8B20-BA959D2A81B6}" name="Lease Vehcile Dedution" totalsRowFunction="sum" dataDxfId="341" totalsRowDxfId="217"/>
    <tableColumn id="5" xr3:uid="{B20FCDC3-979C-479F-AD80-A43FC85AB970}" name="Incentive Bonus" totalsRowFunction="sum" dataDxfId="340" totalsRowDxfId="216"/>
    <tableColumn id="6" xr3:uid="{BA7370FE-7971-4746-9C8E-68AED6B96378}" name="Rati" totalsRowFunction="sum" dataDxfId="339" totalsRowDxfId="215"/>
    <tableColumn id="7" xr3:uid="{3309B892-EB4B-462B-BC3A-89E1FE830E12}" name="Family" totalsRowFunction="sum" dataDxfId="338" totalsRowDxfId="214"/>
    <tableColumn id="8" xr3:uid="{2828B36F-84FA-41EF-B982-3577E294EA7E}" name="Investment Return" totalsRowFunction="sum" dataDxfId="337" totalsRowDxfId="213"/>
    <tableColumn id="9" xr3:uid="{F704C5BC-551C-4EF5-962E-2006CE773AEF}" name="Loan Return" totalsRowFunction="sum" dataDxfId="336" totalsRowDxfId="212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C65AD8-2058-4753-B359-7C11C2E0AFA1}" name="ExpenseTable" displayName="ExpenseTable" ref="B4:L11" totalsRowCount="1" headerRowDxfId="335" dataDxfId="333" totalsRowDxfId="331" headerRowBorderDxfId="334" tableBorderDxfId="332" totalsRowBorderDxfId="330">
  <autoFilter ref="B4:L10" xr:uid="{88C65AD8-2058-4753-B359-7C11C2E0AFA1}"/>
  <tableColumns count="11">
    <tableColumn id="2" xr3:uid="{8708B0D6-D0D6-49D4-ABD6-E00FFDFFA9E9}" name="Month" totalsRowLabel="Total" dataDxfId="329" totalsRowDxfId="196"/>
    <tableColumn id="11" xr3:uid="{B2AD8A13-5DE3-427E-90C2-B19DED5A15EF}" name="Actual  Expense" totalsRowFunction="sum" dataDxfId="328" totalsRowDxfId="195">
      <calculatedColumnFormula>SUM(ExpenseTable[[#This Row],[Kid]:[Support]])</calculatedColumnFormula>
    </tableColumn>
    <tableColumn id="15" xr3:uid="{A3ECD947-16D5-41F8-BBDD-77D5B322D035}" name="Loan EMI" totalsRowFunction="sum" dataDxfId="327" totalsRowDxfId="194">
      <calculatedColumnFormula>_xlfn.IFNA(INDEX( LoanTable[Total Loan], MATCH(ExpenseTable[[#This Row],[Month]], LoanTable[Month], 0) ),0)</calculatedColumnFormula>
    </tableColumn>
    <tableColumn id="3" xr3:uid="{3166FB80-CF15-4153-B5ED-75AE47C988B8}" name="Kid" totalsRowFunction="sum" dataDxfId="326" totalsRowDxfId="193"/>
    <tableColumn id="4" xr3:uid="{70F5358E-37AE-4F17-BB94-F979ED5B79B4}" name="Payments" totalsRowFunction="sum" dataDxfId="325" totalsRowDxfId="192">
      <calculatedColumnFormula>938+492</calculatedColumnFormula>
    </tableColumn>
    <tableColumn id="5" xr3:uid="{0D0656AC-766A-4398-8B01-1865084982D5}" name="HouseHold" totalsRowFunction="sum" dataDxfId="324" totalsRowDxfId="191">
      <calculatedColumnFormula>10260+7494+6341+5200+2047+680</calculatedColumnFormula>
    </tableColumn>
    <tableColumn id="14" xr3:uid="{F5996597-2AF8-407C-BECB-33B9B30E5082}" name="Transport" totalsRowFunction="sum" dataDxfId="323" totalsRowDxfId="190"/>
    <tableColumn id="9" xr3:uid="{51798AF2-569E-467A-B3B2-97837D2F30BA}" name="Family Care" totalsRowFunction="sum" dataDxfId="322" totalsRowDxfId="189"/>
    <tableColumn id="6" xr3:uid="{57A0DED9-E936-43BA-AB91-D772977F2691}" name="Shopping" totalsRowFunction="sum" dataDxfId="321" totalsRowDxfId="188">
      <calculatedColumnFormula>1274823-(23000*5)</calculatedColumnFormula>
    </tableColumn>
    <tableColumn id="7" xr3:uid="{B3B3AC03-8386-4C89-9E80-C2A5011E6FA6}" name="Luxary" totalsRowFunction="sum" dataDxfId="320" totalsRowDxfId="187"/>
    <tableColumn id="10" xr3:uid="{435FFD51-AD39-47DF-ABA9-14C9F06C9B87}" name="Support" totalsRowFunction="sum" dataDxfId="319" totalsRowDxfId="186"/>
  </tableColumns>
  <tableStyleInfo name="TableStyleMedium2" showFirstColumn="1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B55DF5-BC34-4EA7-95D1-DE07E74F1CF1}" name="LoanTable" displayName="LoanTable" ref="B4:P12" totalsRowCount="1" headerRowDxfId="318" dataDxfId="316" totalsRowDxfId="314" headerRowBorderDxfId="317" tableBorderDxfId="315" totalsRowBorderDxfId="313">
  <autoFilter ref="B4:P11" xr:uid="{D9B55DF5-BC34-4EA7-95D1-DE07E74F1CF1}"/>
  <tableColumns count="15">
    <tableColumn id="1" xr3:uid="{3DE47AD3-9438-468E-87FD-458C65038200}" name="Year" totalsRowLabel="Total" dataDxfId="312" totalsRowDxfId="211">
      <calculatedColumnFormula>TEXT(LoanTable[[#This Row],[Month]],"yyyy")</calculatedColumnFormula>
    </tableColumn>
    <tableColumn id="2" xr3:uid="{32467C42-88A0-4BC0-BD27-0B31930E3359}" name="Month" dataDxfId="311" totalsRowDxfId="210"/>
    <tableColumn id="11" xr3:uid="{2E3C624F-D121-431F-9F0B-DFD46513F7C7}" name="Total Loan" totalsRowFunction="sum" dataDxfId="310" totalsRowDxfId="209">
      <calculatedColumnFormula>SUM(LoanTable[[#This Row],[Home Loan]:[Secret Partner]])</calculatedColumnFormula>
    </tableColumn>
    <tableColumn id="3" xr3:uid="{743C65C7-F721-4FAC-B7C5-DA8F5C14685D}" name="Home Loan" totalsRowFunction="custom" dataDxfId="309" totalsRowDxfId="208">
      <totalsRowFormula>E2-SUM(LoanTable[Home Loan])</totalsRowFormula>
    </tableColumn>
    <tableColumn id="4" xr3:uid="{AC992D7F-C9A1-4513-B485-0E4A03D157D4}" name="Personal Loan" totalsRowFunction="custom" dataDxfId="308" totalsRowDxfId="207">
      <totalsRowFormula>F2-SUM(LoanTable[Personal Loan])</totalsRowFormula>
    </tableColumn>
    <tableColumn id="15" xr3:uid="{77F63746-1D3F-4F2D-AA71-FACA35B84F46}" name="Car Loan" totalsRowFunction="custom" dataDxfId="307" totalsRowDxfId="206">
      <totalsRowFormula>G2-SUM(LoanTable[Car Loan])</totalsRowFormula>
    </tableColumn>
    <tableColumn id="5" xr3:uid="{D77F6964-B8C0-4F28-8426-83B92FE82F70}" name="NBFC Loan (LIC)" totalsRowFunction="custom" dataDxfId="306" totalsRowDxfId="205">
      <totalsRowFormula>H2-SUM(LoanTable[NBFC Loan (LIC)])</totalsRowFormula>
    </tableColumn>
    <tableColumn id="6" xr3:uid="{2B27604A-38CB-4BED-B197-795E88BA0818}" name="EPF Loan" totalsRowFunction="custom" dataDxfId="305" totalsRowDxfId="204">
      <calculatedColumnFormula>1274823-(23000*5)</calculatedColumnFormula>
      <totalsRowFormula>I2-SUM(LoanTable[EPF Loan])</totalsRowFormula>
    </tableColumn>
    <tableColumn id="14" xr3:uid="{A4189A16-496B-4D27-9773-CE672DDB7FD8}" name="Education Loan" dataDxfId="304" totalsRowDxfId="203"/>
    <tableColumn id="7" xr3:uid="{76FEA5DB-B350-4AC5-B9DA-3D519D613E02}" name="Gadaget EMI" totalsRowFunction="custom" dataDxfId="303" totalsRowDxfId="202">
      <totalsRowFormula>K2-SUM(LoanTable[Gadaget EMI])</totalsRowFormula>
    </tableColumn>
    <tableColumn id="8" xr3:uid="{C11A3DB5-810D-4A7B-AD91-220236F16A3F}" name="Credit Card EMI" totalsRowFunction="custom" dataDxfId="302" totalsRowDxfId="201">
      <totalsRowFormula>L2-SUM(LoanTable[Credit Card EMI])</totalsRowFormula>
    </tableColumn>
    <tableColumn id="9" xr3:uid="{8FA4AA04-B567-4771-9DEF-2DD18F08C092}" name="Family loan" totalsRowFunction="custom" dataDxfId="301" totalsRowDxfId="200">
      <totalsRowFormula>M2-SUM(LoanTable[Family loan])</totalsRowFormula>
    </tableColumn>
    <tableColumn id="10" xr3:uid="{906CFBFC-4A94-46A4-ABA4-40E2E2B0477C}" name="Credit Purchase" totalsRowFunction="custom" dataDxfId="300" totalsRowDxfId="199">
      <totalsRowFormula>N2-SUM(LoanTable[Credit Purchase])</totalsRowFormula>
    </tableColumn>
    <tableColumn id="13" xr3:uid="{A6275AA8-287B-4CBC-A013-800E89E1CD94}" name="Credit Card Due Till  Nov -25 " totalsRowFunction="custom" dataDxfId="299" totalsRowDxfId="198">
      <totalsRowFormula>O2-SUM(LoanTable[Credit Card Due Till  Nov -25 ])</totalsRowFormula>
    </tableColumn>
    <tableColumn id="12" xr3:uid="{2BA79283-8F60-45EB-83CC-6CEB9C5C3744}" name="Secret Partner" totalsRowFunction="custom" dataDxfId="298" totalsRowDxfId="197">
      <totalsRowFormula>P2-SUM(LoanTable[Secret Partner])</totalsRowFormula>
    </tableColumn>
  </tableColumns>
  <tableStyleInfo name="TableStyleMedium2" showFirstColumn="1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1A1BDC-92D1-4E6F-86F1-C3FCBAB2AD6E}" name="InvestmentTable" displayName="InvestmentTable" ref="B6:N13" totalsRowCount="1" headerRowDxfId="297" dataDxfId="296" totalsRowDxfId="295">
  <autoFilter ref="B6:N12" xr:uid="{1E1A1BDC-92D1-4E6F-86F1-C3FCBAB2AD6E}"/>
  <tableColumns count="13">
    <tableColumn id="2" xr3:uid="{EC09EA53-F0FC-42D0-B08C-D760E0C47350}" name="Entry Month" totalsRowLabel="Total" dataDxfId="294" totalsRowDxfId="146"/>
    <tableColumn id="11" xr3:uid="{53A0156E-CCA9-47B7-8D70-A2358C139837}" name="Total Investment" totalsRowFunction="sum" dataDxfId="293" totalsRowDxfId="145">
      <calculatedColumnFormula>SUM(InvestmentTable[[#This Row],[Stocks]:[Flat]])</calculatedColumnFormula>
    </tableColumn>
    <tableColumn id="4" xr3:uid="{7CED44D7-93D3-49D4-BC3C-1EC932EAAB98}" name="Stocks" totalsRowFunction="sum" dataDxfId="292" totalsRowDxfId="144">
      <calculatedColumnFormula>_xlfn.CEILING.MATH(SUMIFS(InvestTransactionTable[Invested Value],InvestTransactionTable[Type],"Stocks",InvestTransactionTable[Month],InvestmentTable[[#This Row],[Entry Month]]))</calculatedColumnFormula>
    </tableColumn>
    <tableColumn id="5" xr3:uid="{02CF0C21-BE28-47E1-A7FB-450A321E9ED0}" name="Mutual Fund" totalsRowFunction="sum" dataDxfId="291" totalsRowDxfId="143">
      <calculatedColumnFormula>_xlfn.CEILING.MATH(SUMIFS(InvestTransactionTable[Invested Value],InvestTransactionTable[Type],"Mutual Fund",InvestTransactionTable[Month],InvestmentTable[[#This Row],[Entry Month]]))</calculatedColumnFormula>
    </tableColumn>
    <tableColumn id="6" xr3:uid="{DCE4FCE1-9240-4C22-8D98-00FAFC4C6789}" name="Gold MF" totalsRowFunction="sum" dataDxfId="290" totalsRowDxfId="142">
      <calculatedColumnFormula>_xlfn.CEILING.MATH(SUMIFS(InvestTransactionTable[Invested Value],InvestTransactionTable[Type],"Gold MF",InvestTransactionTable[Month],InvestmentTable[[#This Row],[Entry Month]]))</calculatedColumnFormula>
    </tableColumn>
    <tableColumn id="7" xr3:uid="{BB64B4CA-4AD5-479C-94CD-81E12F833664}" name="Gold ETF" totalsRowFunction="sum" dataDxfId="289" totalsRowDxfId="141">
      <calculatedColumnFormula>_xlfn.CEILING.MATH(SUMIFS(InvestTransactionTable[Invested Value],InvestTransactionTable[Type],"Gold ETF",InvestTransactionTable[Month],InvestmentTable[[#This Row],[Entry Month]]))</calculatedColumnFormula>
    </tableColumn>
    <tableColumn id="8" xr3:uid="{F7A19816-5A04-446A-9C96-34ED12EEB20D}" name="Gold" totalsRowFunction="sum" dataDxfId="288" totalsRowDxfId="140">
      <calculatedColumnFormula>_xlfn.CEILING.MATH(SUMIFS(InvestTransactionTable[Invested Value],InvestTransactionTable[Type],"Gold",InvestTransactionTable[Month],InvestmentTable[[#This Row],[Entry Month]]))</calculatedColumnFormula>
    </tableColumn>
    <tableColumn id="9" xr3:uid="{C92C8DBA-1ECA-450C-AA0C-DF4AE4F9D37F}" name="SGB" totalsRowFunction="sum" dataDxfId="287" totalsRowDxfId="139">
      <calculatedColumnFormula>_xlfn.CEILING.MATH(SUMIFS(InvestTransactionTable[Invested Value],InvestTransactionTable[Type],"Gold",InvestTransactionTable[Month],InvestmentTable[[#This Row],[Entry Month]]))</calculatedColumnFormula>
    </tableColumn>
    <tableColumn id="10" xr3:uid="{E5733977-3587-4A7B-91EC-D3BA9E9EF0C7}" name="EPF" totalsRowFunction="sum" dataDxfId="286" totalsRowDxfId="138"/>
    <tableColumn id="12" xr3:uid="{00AB9298-CBAC-4215-A826-1A966496970D}" name="NPS" totalsRowFunction="sum" dataDxfId="285" totalsRowDxfId="137"/>
    <tableColumn id="13" xr3:uid="{E304E15B-262B-49BC-99C3-45479D1202F4}" name="Sukanya Samriddhi" totalsRowFunction="sum" dataDxfId="284" totalsRowDxfId="136"/>
    <tableColumn id="14" xr3:uid="{82BC10C4-2ABA-4C4B-9247-9D6C87F44835}" name="Land" totalsRowFunction="sum" dataDxfId="283" totalsRowDxfId="135"/>
    <tableColumn id="15" xr3:uid="{BD4D7DC3-707A-460A-97E1-8C4A2BE22460}" name="Flat" totalsRowFunction="sum" dataDxfId="282" totalsRowDxfId="134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A59CB41-70F7-465A-B69B-06BB98F61049}" name="CorpusTable" displayName="CorpusTable" ref="B3:O15" totalsRowCount="1" headerRowDxfId="281" dataDxfId="280" totalsRowDxfId="279">
  <autoFilter ref="B3:O14" xr:uid="{0A59CB41-70F7-465A-B69B-06BB98F61049}"/>
  <sortState xmlns:xlrd2="http://schemas.microsoft.com/office/spreadsheetml/2017/richdata2" ref="B4:N14">
    <sortCondition ref="C3:C14"/>
  </sortState>
  <tableColumns count="14">
    <tableColumn id="1" xr3:uid="{F90B5177-BA0F-4943-9D3F-749451335B6D}" name="Asset" totalsRowLabel="Total" dataDxfId="278" totalsRowDxfId="73"/>
    <tableColumn id="2" xr3:uid="{9E54BAAB-CCED-4F12-AAB0-C17A5079ACF1}" name="Type" dataDxfId="277" totalsRowDxfId="72"/>
    <tableColumn id="10" xr3:uid="{BFB002BC-9FF1-433E-ABC6-1DB697617B40}" name="Invested Till Oct 25" totalsRowFunction="sum" dataDxfId="276" totalsRowDxfId="71"/>
    <tableColumn id="9" xr3:uid="{F634F7CF-4D4A-43C6-8DD2-0AD9F38F2FB4}" name="Actual Till Oct-25" totalsRowFunction="sum" dataDxfId="275" totalsRowDxfId="70">
      <calculatedColumnFormula>487500+10000+50000+150000</calculatedColumnFormula>
    </tableColumn>
    <tableColumn id="14" xr3:uid="{EC31B209-D142-42AB-9A85-CB86AF3EE885}" name="Profit Till Oct-25" totalsRowFunction="sum" dataDxfId="274" totalsRowDxfId="69">
      <calculatedColumnFormula>CorpusTable[[#This Row],[Actual Till Oct-25]]-CorpusTable[[#This Row],[Invested Till Oct 25]]</calculatedColumnFormula>
    </tableColumn>
    <tableColumn id="12" xr3:uid="{31BC5B61-C743-49BB-A2DF-AF2C6C64C0CF}" name="Allocation % Till Oct 25" totalsRowFunction="sum" dataDxfId="273" totalsRowDxfId="68" dataCellStyle="Percent" totalsRowCellStyle="Percent">
      <calculatedColumnFormula>CorpusTable[[#This Row],[Invested Till Oct 25]]/CorpusTable[[#Totals],[Invested Till Oct 25]]</calculatedColumnFormula>
    </tableColumn>
    <tableColumn id="13" xr3:uid="{AA276A31-A303-4695-B9B2-81B77402887A}" name="Return % Till Date" totalsRowFunction="average" dataDxfId="272" totalsRowDxfId="67" dataCellStyle="Percent" totalsRowCellStyle="Percent">
      <calculatedColumnFormula>IFERROR((CorpusTable[[#This Row],[Actual Till Oct-25]]-CorpusTable[[#This Row],[Invested Till Oct 25]])/CorpusTable[[#This Row],[Invested Till Oct 25]],0)</calculatedColumnFormula>
    </tableColumn>
    <tableColumn id="3" xr3:uid="{2F6716D3-044D-436D-BED5-56E88F5993C7}" name="Invested Since Nov-25" totalsRowFunction="sum" dataDxfId="271" totalsRowDxfId="66"/>
    <tableColumn id="4" xr3:uid="{44629A4B-B051-4633-84B7-1F451BF211CB}" name="Allocation %" totalsRowFunction="sum" dataDxfId="270" totalsRowDxfId="65" dataCellStyle="Percent">
      <calculatedColumnFormula>CorpusTable[[#This Row],[Invested Since Nov-25]]/CorpusTable[[#Totals],[Invested Since Nov-25]]</calculatedColumnFormula>
    </tableColumn>
    <tableColumn id="6" xr3:uid="{0A917DF1-A5C4-4BEA-BE83-8C805F95D25B}" name="Invested" totalsRowFunction="sum" dataDxfId="269" totalsRowDxfId="64" dataCellStyle="Percent">
      <calculatedColumnFormula>CorpusTable[[#This Row],[Invested Till Oct 25]]+CorpusTable[[#This Row],[Invested Since Nov-25]]</calculatedColumnFormula>
    </tableColumn>
    <tableColumn id="5" xr3:uid="{F1CDAC3F-CB57-40AF-95C7-CA5A50F034C0}" name="Current Value" totalsRowFunction="sum" dataDxfId="268" totalsRowDxfId="63">
      <calculatedColumnFormula>SUMIFS(AllocationTable[CURRENT VALUE],AllocationTable[TYPE],CorpusTable[[#This Row],[Asset]])+CorpusTable[[#This Row],[Wallet]]</calculatedColumnFormula>
    </tableColumn>
    <tableColumn id="7" xr3:uid="{A0B501EF-00F0-4F4E-8081-F61F219ED29C}" name="Return" totalsRowFunction="sum" dataDxfId="267" totalsRowDxfId="62">
      <calculatedColumnFormula>CorpusTable[[#This Row],[Current Value]]-CorpusTable[[#This Row],[Invested]]</calculatedColumnFormula>
    </tableColumn>
    <tableColumn id="8" xr3:uid="{8CE8C944-F6AF-49A4-BCA8-B8E97119E175}" name="Return%" totalsRowFunction="average" dataDxfId="266" totalsRowDxfId="61" dataCellStyle="Percent">
      <calculatedColumnFormula>IFERROR(CorpusTable[[#This Row],[Return]]/CorpusTable[[#This Row],[Invested]],"-")</calculatedColumnFormula>
    </tableColumn>
    <tableColumn id="11" xr3:uid="{8B9317D9-1ECA-466C-9A84-8560FEFCA0C0}" name="Wallet" dataDxfId="265" totalsRowDxfId="60"/>
  </tableColumns>
  <tableStyleInfo name="TableStyleMedium1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C5BD07-145E-4384-9C09-CD2637EB4551}" name="RBITable" displayName="RBITable" ref="B21:C36" totalsRowShown="0" headerRowDxfId="264" dataDxfId="263" totalsRowDxfId="262">
  <autoFilter ref="B21:C36" xr:uid="{B2C5BD07-145E-4384-9C09-CD2637EB4551}"/>
  <tableColumns count="2">
    <tableColumn id="1" xr3:uid="{7D0AFBBC-9C4E-47FA-8A5F-A241BFC4D7F6}" name="Month" dataDxfId="261" totalsRowDxfId="260"/>
    <tableColumn id="8" xr3:uid="{07D2DE5B-2A8D-4F0D-8FF0-69A2AFD40A90}" name="Transactions" dataDxfId="259" totalsRowDxfId="258"/>
  </tableColumns>
  <tableStyleInfo name="TableStyleLight20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31F6E5-3A20-4CA6-8D8A-99BFC0010CF7}" name="AllocationTable9" displayName="AllocationTable9" ref="A1:O18" totalsRowCount="1" dataDxfId="257" tableBorderDxfId="256">
  <autoFilter ref="A1:O17" xr:uid="{00000000-0009-0000-0100-000001000000}"/>
  <sortState xmlns:xlrd2="http://schemas.microsoft.com/office/spreadsheetml/2017/richdata2" ref="A2:O17">
    <sortCondition descending="1" ref="I1:I17"/>
  </sortState>
  <tableColumns count="15">
    <tableColumn id="1" xr3:uid="{6BEB4610-F9E3-4E5D-873D-CDD747F6285C}" name="TRADE" dataDxfId="255" totalsRowDxfId="254"/>
    <tableColumn id="3" xr3:uid="{1CEC4387-3BCC-4386-A9DA-6C7E0C8C3444}" name="TYPE" totalsRowDxfId="253"/>
    <tableColumn id="2" xr3:uid="{D1F01283-F7BF-4E2B-B31B-F6C1B72625C6}" name="SECTOR" dataDxfId="252" totalsRowDxfId="251">
      <calculatedColumnFormula>VLOOKUP(AllocationTable9[[#This Row],[TRADE]],AllocationTable[[TRADE]:[SECTOR]],2,0)</calculatedColumnFormula>
    </tableColumn>
    <tableColumn id="5" xr3:uid="{77C5DE1C-DD25-48BB-B8D9-5CC99E891A7D}" name="QNT" totalsRowFunction="sum" dataDxfId="250" totalsRowDxfId="249">
      <calculatedColumnFormula>VLOOKUP(AllocationTable9[[#This Row],[TRADE]],LatestDump!A:B,2,0)</calculatedColumnFormula>
    </tableColumn>
    <tableColumn id="6" xr3:uid="{6D0FBC1E-F73D-4584-8B2D-D58B6EF9694A}" name="AVG." totalsRowFunction="average" dataDxfId="248" totalsRowDxfId="247">
      <calculatedColumnFormula>VLOOKUP(AllocationTable9[[#This Row],[TRADE]],LatestDump!A:C,3,0)</calculatedColumnFormula>
    </tableColumn>
    <tableColumn id="7" xr3:uid="{AF0BA27C-1905-4F4F-8834-18C62CEF16B3}" name="LTP" dataDxfId="246" totalsRowDxfId="245">
      <calculatedColumnFormula>VLOOKUP(AllocationTable9[[#This Row],[TRADE]],LatestDump!A:I,4,0)</calculatedColumnFormula>
    </tableColumn>
    <tableColumn id="10" xr3:uid="{CFA375AD-B6E0-4453-8E04-341EECFA46E2}" name="Available Quota" totalsRowFunction="sum" dataDxfId="244" totalsRowDxfId="243" dataCellStyle="Percent">
      <calculatedColumnFormula>AllocationTable9[[#This Row],[EA]]-AllocationTable9[[#This Row],[AA]]</calculatedColumnFormula>
    </tableColumn>
    <tableColumn id="16" xr3:uid="{C2A9A977-4683-4574-8DD8-A9FB1B109D77}" name="PROFIT" totalsRowFunction="sum" dataDxfId="242" totalsRowDxfId="241">
      <calculatedColumnFormula>(AllocationTable9[[#This Row],[QNT]]*AllocationTable9[[#This Row],[LTP]])-(AllocationTable9[[#This Row],[QNT]]*AllocationTable9[[#This Row],[AVG.]])</calculatedColumnFormula>
    </tableColumn>
    <tableColumn id="17" xr3:uid="{801EDC59-BCA5-4D05-B003-1A68F96B2E86}" name="PROFIT%" totalsRowFunction="average" dataDxfId="240" totalsRowDxfId="239">
      <calculatedColumnFormula>IFERROR(AllocationTable9[[#This Row],[PROFIT]]/AllocationTable9[[#This Row],[AA]],0)</calculatedColumnFormula>
    </tableColumn>
    <tableColumn id="18" xr3:uid="{6CE924D6-0C85-44C6-BD2C-018DAC76AC21}" name="CURRENT VALUE" totalsRowFunction="sum" dataDxfId="238" totalsRowDxfId="237">
      <calculatedColumnFormula>AllocationTable9[[#This Row],[QNT]]*AllocationTable9[[#This Row],[LTP]]</calculatedColumnFormula>
    </tableColumn>
    <tableColumn id="19" xr3:uid="{702939EC-B4E9-4DFC-B8FA-4FC3A9601A76}" name="EA%" totalsRowFunction="sum" dataDxfId="236" totalsRowDxfId="235">
      <calculatedColumnFormula>AllocationTable9[[#This Row],[EA]]/AllocationTable9[[#Totals],[EA]]</calculatedColumnFormula>
    </tableColumn>
    <tableColumn id="20" xr3:uid="{D4BB4BE8-5D71-456C-A065-31A60CE640C8}" name="AA%" totalsRowFunction="sum" dataDxfId="234" totalsRowDxfId="233">
      <calculatedColumnFormula>AllocationTable9[[#This Row],[AA]]/AllocationTable9[[#Totals],[AA]]</calculatedColumnFormula>
    </tableColumn>
    <tableColumn id="21" xr3:uid="{C6E1CD75-46E7-4136-9B58-CA87A4471B71}" name="EA" totalsRowFunction="sum" dataDxfId="232" totalsRowDxfId="231"/>
    <tableColumn id="22" xr3:uid="{B6776854-8B1A-46C2-A991-170BB6DD219A}" name="AA" totalsRowFunction="sum" dataDxfId="230" totalsRowDxfId="229">
      <calculatedColumnFormula>AllocationTable9[[#This Row],[QNT]]*AllocationTable9[[#This Row],[AVG.]]</calculatedColumnFormula>
    </tableColumn>
    <tableColumn id="23" xr3:uid="{548A2A5F-8477-4268-881F-4A8EDD7B1EB3}" name="MARKET CAP" dataDxfId="228" totalsRowDxfId="227"/>
  </tableColumns>
  <tableStyleInfo name="TableStyleMedium2" showFirstColumn="1" showLastColumn="1" showRowStripes="1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C29CBC-33B2-4509-8798-84AE0211F956}" name="AllocationTable" displayName="AllocationTable" ref="A1:AD113" totalsRowCount="1" tableBorderDxfId="226">
  <autoFilter ref="A1:AD112" xr:uid="{00000000-0009-0000-0100-000001000000}"/>
  <sortState xmlns:xlrd2="http://schemas.microsoft.com/office/spreadsheetml/2017/richdata2" ref="A2:AD112">
    <sortCondition ref="C2:C112"/>
    <sortCondition ref="B2:B112"/>
    <sortCondition ref="A2:A112"/>
  </sortState>
  <tableColumns count="30">
    <tableColumn id="1" xr3:uid="{02CFA376-F659-4943-A3F8-C4C73757BAEC}" name="TRADE" dataDxfId="133" totalsRowDxfId="103"/>
    <tableColumn id="2" xr3:uid="{09A44FF6-BFED-481E-B238-A6848E88B7E0}" name="SECTOR" dataDxfId="132" totalsRowDxfId="102"/>
    <tableColumn id="4" xr3:uid="{21C280A2-9F88-4342-B014-FC968F376C05}" name="TYPE" dataDxfId="131" totalsRowDxfId="101"/>
    <tableColumn id="3" xr3:uid="{A8C3DF92-35E4-4732-A4F1-D166A551702E}" name="Term" dataDxfId="130" totalsRowDxfId="100"/>
    <tableColumn id="5" xr3:uid="{2667193F-F027-4A1E-B416-63FFA3705AFD}" name="QNT" totalsRowFunction="sum" dataDxfId="129" totalsRowDxfId="99">
      <calculatedColumnFormula>_xlfn.IFNA(VLOOKUP(AllocationTable[[#This Row],[TRADE]],LatestDump!A:H,2,FALSE),0) + (_xlfn.IFNA(VLOOKUP(AllocationTable[[#This Row],[TRADE]],LongTerm!A:D,4,0),0))</calculatedColumnFormula>
    </tableColumn>
    <tableColumn id="6" xr3:uid="{54E15388-8DB6-4398-832B-2C212FCA81AD}" name="AVG." totalsRowFunction="average" dataDxfId="128" totalsRowDxfId="98">
      <calculatedColumnFormula>IFERROR(
   (
     _xlfn.IFNA(VLOOKUP(AllocationTable[[#This Row],[TRADE]],LatestDump!A:H,5,FALSE),0) +
     _xlfn.IFNA(VLOOKUP(AllocationTable[[#This Row],[TRADE]],AllocationTable9[[TRADE]:[AA]],14,0),0)
   ) / AllocationTable[[#This Row],[QNT]],
0)</calculatedColumnFormula>
    </tableColumn>
    <tableColumn id="7" xr3:uid="{03EDD830-5AEF-401A-A958-AC09502E8B07}" name="LTP" dataDxfId="127" totalsRowDxfId="97">
      <calculatedColumnFormula>_xlfn.IFNA(ROUND(VLOOKUP(AllocationTable[[#This Row],[TRADE]],LatestDump!A:H,4,FALSE),2),0)</calculatedColumnFormula>
    </tableColumn>
    <tableColumn id="8" xr3:uid="{BD194F62-3B75-4AE2-A1BE-A85DEEB7A3D6}" name="High" dataDxfId="126" totalsRowDxfId="96"/>
    <tableColumn id="10" xr3:uid="{955F1B59-20B1-4704-82D6-C4A345C2431E}" name="Available Quota" totalsRowFunction="sum" dataDxfId="125" totalsRowDxfId="95">
      <calculatedColumnFormula>AllocationTable[[#This Row],[EA]]-AllocationTable[[#This Row],[AA]]</calculatedColumnFormula>
    </tableColumn>
    <tableColumn id="11" xr3:uid="{182A194E-B36D-48F7-B3D3-A1D522AD4528}" name="CALL" dataDxfId="124" totalsRowDxfId="94">
      <calculatedColumnFormula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calculatedColumnFormula>
    </tableColumn>
    <tableColumn id="30" xr3:uid="{721FA3D4-6843-4FA9-A98F-EB1D35588550}" name="Last Buy" dataDxfId="123" totalsRowDxfId="93"/>
    <tableColumn id="12" xr3:uid="{7CF8751D-3202-4F1A-A808-B67694631141}" name="1st Target" dataDxfId="122" totalsRowDxfId="92">
      <calculatedColumnFormula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calculatedColumnFormula>
    </tableColumn>
    <tableColumn id="13" xr3:uid="{3BFCC264-2292-409D-93A9-A78D1AC361C9}" name="2nd Target" dataDxfId="121" totalsRowDxfId="91">
      <calculatedColumnFormula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calculatedColumnFormula>
    </tableColumn>
    <tableColumn id="14" xr3:uid="{4586DC3E-96F5-42D5-81D3-55BBE7E4893E}" name="3rd Target" dataDxfId="120" totalsRowDxfId="90">
      <calculatedColumnFormula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calculatedColumnFormula>
    </tableColumn>
    <tableColumn id="16" xr3:uid="{8D3F0AE2-C56D-4EA2-A6DA-1A0B2D976EBD}" name="PROFIT" totalsRowFunction="sum" dataDxfId="119" totalsRowDxfId="89">
      <calculatedColumnFormula>AllocationTable[[#This Row],[CURRENT VALUE]]-AllocationTable[[#This Row],[AA]]</calculatedColumnFormula>
    </tableColumn>
    <tableColumn id="17" xr3:uid="{462AF9E8-9DF5-4458-91BC-CDBE9AAF283A}" name="PROFIT%" totalsRowFunction="average" dataDxfId="118" totalsRowDxfId="88">
      <calculatedColumnFormula>IFERROR(AllocationTable[[#This Row],[PROFIT]]/AllocationTable[[#This Row],[AA]],0)</calculatedColumnFormula>
    </tableColumn>
    <tableColumn id="18" xr3:uid="{32CAEF8F-4157-486B-B49F-A98EECDE2B58}" name="CURRENT VALUE" totalsRowFunction="sum" dataDxfId="117" totalsRowDxfId="87">
      <calculatedColumnFormula>AllocationTable[[#This Row],[QNT]]*AllocationTable[[#This Row],[LTP]]</calculatedColumnFormula>
    </tableColumn>
    <tableColumn id="24" xr3:uid="{07D33915-A23C-4B67-B818-F07ED91AEBD2}" name="Till 2025" dataDxfId="116" totalsRowDxfId="86"/>
    <tableColumn id="25" xr3:uid="{7728611F-6A23-4305-9347-39CBC3D277A1}" name="ESIP" totalsRowFunction="sum" dataDxfId="115" totalsRowDxfId="85"/>
    <tableColumn id="19" xr3:uid="{715282A4-C4A6-4D8E-AA73-47A325DA419F}" name="EA%" totalsRowFunction="sum" dataDxfId="114" totalsRowDxfId="84"/>
    <tableColumn id="21" xr3:uid="{D2777FDA-D7EF-42D5-8269-3057CA2A1FB5}" name="EA" totalsRowFunction="sum" dataDxfId="113" totalsRowDxfId="83" dataCellStyle="Percent">
      <calculatedColumnFormula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calculatedColumnFormula>
    </tableColumn>
    <tableColumn id="20" xr3:uid="{BCD5790F-3333-412C-9A7B-EA9811953E72}" name="AA%" totalsRowFunction="sum" dataDxfId="112" totalsRowDxfId="82">
      <calculatedColumnFormula>AllocationTable[[#This Row],[AA]]/AllocationTable[[#Totals],[AA]]</calculatedColumnFormula>
    </tableColumn>
    <tableColumn id="22" xr3:uid="{F92C109A-5DFD-4385-A8D0-993902AB1528}" name="AA" totalsRowFunction="sum" dataDxfId="111" totalsRowDxfId="81">
      <calculatedColumnFormula>AllocationTable[[#This Row],[QNT]]*AllocationTable[[#This Row],[AVG.]]</calculatedColumnFormula>
    </tableColumn>
    <tableColumn id="23" xr3:uid="{171EC884-7FF2-4EA8-B77C-EEBFDCE3F04E}" name="SIP%" dataDxfId="110" totalsRowDxfId="80"/>
    <tableColumn id="26" xr3:uid="{1CAA1305-6806-42A6-A1AF-A97FC9CEB124}" name="Tier" dataDxfId="109" totalsRowDxfId="79"/>
    <tableColumn id="28" xr3:uid="{2643E4ED-6EB4-41CA-BCC2-827E195949E8}" name="Stop Loss %" dataDxfId="108" totalsRowDxfId="78"/>
    <tableColumn id="29" xr3:uid="{8C1F8D2E-B03A-49D2-B2E8-F571D4F39849}" name="Initial Stop-Loss %" dataDxfId="107" totalsRowDxfId="77"/>
    <tableColumn id="15" xr3:uid="{048E837B-36C7-440E-8477-4F01816E5F0C}" name="Partial Profit %" dataDxfId="106" totalsRowDxfId="76"/>
    <tableColumn id="9" xr3:uid="{9AF57CAF-33FE-46E4-B890-95A1F5CCC172}" name="Final Target %" dataDxfId="105" totalsRowDxfId="75"/>
    <tableColumn id="27" xr3:uid="{4E975685-0B30-4065-A1A1-BF07550CF205}" name="Trailing Stop Rule" dataDxfId="104" totalsRowDxfId="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8C1AFF4-3E3C-4D78-863E-652351D303FD}" name="InvestTransactionTable" displayName="InvestTransactionTable" ref="B2:O85" totalsRowShown="0" headerRowDxfId="185" dataDxfId="184" headerRowBorderDxfId="182" tableBorderDxfId="183" totalsRowBorderDxfId="181" headerRowCellStyle="Percent">
  <autoFilter ref="B2:O85" xr:uid="{F8C1AFF4-3E3C-4D78-863E-652351D303FD}"/>
  <sortState xmlns:xlrd2="http://schemas.microsoft.com/office/spreadsheetml/2017/richdata2" ref="B3:O74">
    <sortCondition ref="B2:B66"/>
  </sortState>
  <tableColumns count="14">
    <tableColumn id="1" xr3:uid="{E887FD97-1957-4BAD-900D-5CFE9CECCB4E}" name="Entry Date" dataDxfId="180"/>
    <tableColumn id="2" xr3:uid="{C98C2C02-801E-4A97-9D7D-31F82EBCA375}" name="Day" dataDxfId="179">
      <calculatedColumnFormula>TEXT(InvestTransactionTable[[#This Row],[Entry Date]],"dddd")</calculatedColumnFormula>
    </tableColumn>
    <tableColumn id="3" xr3:uid="{0AC65AE7-FEC1-4AA1-ABED-F4D2935DEE59}" name="Stock Name" dataDxfId="178"/>
    <tableColumn id="4" xr3:uid="{B7CB28E6-8205-4C23-98C0-958EF51D3A68}" name="Type" dataDxfId="177">
      <calculatedColumnFormula>VLOOKUP(InvestTransactionTable[[#This Row],[Stock Name]],AllocationTable[[TRADE]:[TYPE]],3,0)</calculatedColumnFormula>
    </tableColumn>
    <tableColumn id="5" xr3:uid="{367D56F2-EC2E-4DAD-932F-FA1872BCDE8E}" name="Quantity" dataDxfId="176"/>
    <tableColumn id="6" xr3:uid="{92F0AE30-6011-4ABD-9412-666AA315BF4D}" name="Buy/Sell" dataDxfId="175"/>
    <tableColumn id="7" xr3:uid="{54B08AE0-5501-44F2-952A-EBE749A9E53D}" name="Price" dataDxfId="174"/>
    <tableColumn id="8" xr3:uid="{74F0324B-4E7A-4A46-8E30-341022A7F900}" name="Invested Value" dataDxfId="173">
      <calculatedColumnFormula>IF(InvestTransactionTable[[#This Row],[Buy/Sell]]="Buy",InvestTransactionTable[[#This Row],[Quantity]]*InvestTransactionTable[[#This Row],[Price]],InvestTransactionTable[[#This Row],[Quantity]]*InvestTransactionTable[[#This Row],[Price]]*-1)</calculatedColumnFormula>
    </tableColumn>
    <tableColumn id="19" xr3:uid="{C129F2EE-A011-4E9E-B670-456F433BB444}" name="Current Value" dataDxfId="172">
      <calculatedColumnFormula>VLOOKUP(InvestTransactionTable[[#This Row],[Stock Name]],AllocationTable[[TRADE]:[LTP]],6,0)*InvestTransactionTable[[#This Row],[Quantity]]</calculatedColumnFormula>
    </tableColumn>
    <tableColumn id="13" xr3:uid="{5164D9B7-B331-4DDD-B03A-7A1AF6936317}" name="Profit" dataDxfId="171">
      <calculatedColumnFormula>InvestTransactionTable[[#This Row],[Current Value]]-InvestTransactionTable[[#This Row],[Invested Value]]</calculatedColumnFormula>
    </tableColumn>
    <tableColumn id="15" xr3:uid="{3C3BDD1F-C745-442A-9AB1-DC24C591E10A}" name="Profit %" dataDxfId="170" dataCellStyle="Percent">
      <calculatedColumnFormula>InvestTransactionTable[[#This Row],[Profit]]/InvestTransactionTable[[#This Row],[Invested Value]]</calculatedColumnFormula>
    </tableColumn>
    <tableColumn id="16" xr3:uid="{0A3BC2F6-0F8B-4424-A762-6B7DD27455A3}" name="Rationale" dataDxfId="169"/>
    <tableColumn id="17" xr3:uid="{ADAACD77-5EE2-4731-8D76-A6D9CE1369BD}" name="Deviation" dataDxfId="168"/>
    <tableColumn id="20" xr3:uid="{7CE24500-0E81-4904-A699-ED74FF2B6749}" name="Month" dataDxfId="167">
      <calculatedColumnFormula>TEXT(InvestTransactionTable[[#This Row],[Entry Date]],"MMM-YY")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F1A2-E338-4041-BA5C-4FFD8F9F56B4}">
  <sheetPr>
    <tabColor rgb="FF7030A0"/>
  </sheetPr>
  <dimension ref="A1:H27"/>
  <sheetViews>
    <sheetView tabSelected="1" topLeftCell="A4" workbookViewId="0">
      <selection activeCell="B26" sqref="B26"/>
    </sheetView>
  </sheetViews>
  <sheetFormatPr defaultColWidth="9.140625" defaultRowHeight="12.75" x14ac:dyDescent="0.2"/>
  <cols>
    <col min="1" max="1" width="4.140625" style="298" bestFit="1" customWidth="1"/>
    <col min="2" max="2" width="23.5703125" style="241" customWidth="1"/>
    <col min="3" max="3" width="16.140625" style="241" customWidth="1"/>
    <col min="4" max="6" width="23.5703125" style="241" customWidth="1"/>
    <col min="7" max="7" width="16.85546875" style="241" customWidth="1"/>
    <col min="8" max="8" width="23.5703125" style="241" customWidth="1"/>
    <col min="9" max="16384" width="9.140625" style="241"/>
  </cols>
  <sheetData>
    <row r="1" spans="1:8" ht="15.75" thickBot="1" x14ac:dyDescent="0.3">
      <c r="A1" s="316"/>
      <c r="B1" s="301"/>
      <c r="C1" s="300"/>
      <c r="D1" s="306" t="s">
        <v>284</v>
      </c>
      <c r="E1" s="303" t="s">
        <v>290</v>
      </c>
      <c r="F1" s="304">
        <f ca="1">DATE(YEAR(TODAY()), MONTH(TODAY()), 1)</f>
        <v>46113</v>
      </c>
      <c r="G1" s="302" t="s">
        <v>289</v>
      </c>
      <c r="H1" s="305">
        <f ca="1">DATEDIF(DATE(2025,10,1), TODAY(), "m")</f>
        <v>6</v>
      </c>
    </row>
    <row r="2" spans="1:8" ht="13.5" thickBot="1" x14ac:dyDescent="0.25"/>
    <row r="3" spans="1:8" x14ac:dyDescent="0.2">
      <c r="B3" s="251" t="s">
        <v>278</v>
      </c>
      <c r="C3" s="242"/>
      <c r="D3" s="440">
        <f>avgIncome</f>
        <v>273927.8</v>
      </c>
      <c r="F3" s="251" t="s">
        <v>281</v>
      </c>
      <c r="G3" s="242"/>
      <c r="H3" s="440">
        <f>AvgInvestment</f>
        <v>98363</v>
      </c>
    </row>
    <row r="4" spans="1:8" x14ac:dyDescent="0.2">
      <c r="B4" s="252" t="s">
        <v>279</v>
      </c>
      <c r="D4" s="441">
        <f>avgExpense</f>
        <v>97550</v>
      </c>
      <c r="F4" s="252" t="s">
        <v>282</v>
      </c>
      <c r="H4" s="441">
        <f>AvgSavings</f>
        <v>-53299</v>
      </c>
    </row>
    <row r="5" spans="1:8" ht="13.5" thickBot="1" x14ac:dyDescent="0.25">
      <c r="B5" s="253" t="s">
        <v>280</v>
      </c>
      <c r="C5" s="243"/>
      <c r="D5" s="442">
        <f>avgLoanRePayment</f>
        <v>166910.20000000001</v>
      </c>
      <c r="F5" s="254" t="s">
        <v>283</v>
      </c>
      <c r="G5" s="243"/>
      <c r="H5" s="442">
        <f ca="1">INDEX(RBITable[Transactions], MATCH(CurrentMonth,RBITable[Month],0))</f>
        <v>0</v>
      </c>
    </row>
    <row r="6" spans="1:8" ht="15" x14ac:dyDescent="0.25">
      <c r="B6" s="313"/>
      <c r="D6" s="314"/>
      <c r="E6" s="315"/>
      <c r="F6" s="314"/>
      <c r="H6" s="314"/>
    </row>
    <row r="7" spans="1:8" ht="15" x14ac:dyDescent="0.25">
      <c r="B7" s="317"/>
      <c r="C7" s="318"/>
      <c r="D7" s="319"/>
      <c r="E7" s="320"/>
      <c r="F7" s="319"/>
      <c r="G7" s="318"/>
      <c r="H7" s="319"/>
    </row>
    <row r="8" spans="1:8" ht="15.75" thickBot="1" x14ac:dyDescent="0.3">
      <c r="B8" s="313"/>
      <c r="D8" s="314"/>
      <c r="E8" s="315"/>
      <c r="F8" s="314"/>
      <c r="H8" s="314"/>
    </row>
    <row r="9" spans="1:8" ht="15.75" thickBot="1" x14ac:dyDescent="0.25">
      <c r="A9" s="299"/>
      <c r="B9" s="244" t="s">
        <v>291</v>
      </c>
      <c r="C9" s="307"/>
      <c r="D9" s="246" t="s">
        <v>292</v>
      </c>
      <c r="E9" s="308" t="s">
        <v>293</v>
      </c>
      <c r="F9" s="245" t="s">
        <v>294</v>
      </c>
      <c r="G9" s="307"/>
      <c r="H9" s="247" t="s">
        <v>295</v>
      </c>
    </row>
    <row r="10" spans="1:8" ht="15" x14ac:dyDescent="0.2">
      <c r="A10" s="299" t="s">
        <v>285</v>
      </c>
      <c r="B10" s="244" t="s">
        <v>34</v>
      </c>
      <c r="C10" s="307"/>
      <c r="D10" s="246" t="s">
        <v>140</v>
      </c>
      <c r="E10" s="308" t="s">
        <v>276</v>
      </c>
      <c r="F10" s="245" t="s">
        <v>36</v>
      </c>
      <c r="G10" s="307"/>
      <c r="H10" s="247" t="s">
        <v>39</v>
      </c>
    </row>
    <row r="11" spans="1:8" ht="15" x14ac:dyDescent="0.2">
      <c r="A11" s="54" t="s">
        <v>277</v>
      </c>
      <c r="B11" s="321">
        <f>_xlfn.CEILING.MATH(avgIncome*30%*70%)</f>
        <v>57525</v>
      </c>
      <c r="C11" s="307"/>
      <c r="D11" s="321">
        <f>_xlfn.CEILING.MATH(avgIncome*30%*10%)</f>
        <v>8218</v>
      </c>
      <c r="E11" s="321">
        <f>_xlfn.CEILING.MATH(15515)</f>
        <v>15515</v>
      </c>
      <c r="F11" s="321">
        <f>_xlfn.CEILING.MATH(avgIncome*30%*20%)</f>
        <v>16436</v>
      </c>
      <c r="G11" s="307"/>
      <c r="H11" s="321">
        <f>_xlfn.CEILING.MATH(avgIncome*0%)</f>
        <v>0</v>
      </c>
    </row>
    <row r="12" spans="1:8" ht="15" x14ac:dyDescent="0.2">
      <c r="A12" s="54" t="s">
        <v>296</v>
      </c>
      <c r="B12" s="322">
        <f>AVERAGE(Investment!D14:E14)</f>
        <v>1859</v>
      </c>
      <c r="C12" s="307"/>
      <c r="D12" s="322">
        <f>AVERAGEIF(Investment!F14:I14,"&gt;0")</f>
        <v>4405.5</v>
      </c>
      <c r="E12" s="322">
        <f>Investment!K14</f>
        <v>15515</v>
      </c>
      <c r="F12" s="322">
        <f>Investment!L14</f>
        <v>12500</v>
      </c>
      <c r="G12" s="307"/>
      <c r="H12" s="322"/>
    </row>
    <row r="13" spans="1:8" ht="15" x14ac:dyDescent="0.2">
      <c r="A13" s="299" t="s">
        <v>286</v>
      </c>
      <c r="B13" s="309">
        <f>SUMIFS(CorpusTable[Invested],CorpusTable[Type],DashBoard!B10)</f>
        <v>2829087</v>
      </c>
      <c r="C13" s="310"/>
      <c r="D13" s="309">
        <f>SUMIFS(CorpusTable[Invested],CorpusTable[Type],DashBoard!D10)</f>
        <v>422438</v>
      </c>
      <c r="E13" s="309">
        <f>SUMIFS(CorpusTable[Invested],CorpusTable[Type],DashBoard!E10)</f>
        <v>1040101</v>
      </c>
      <c r="F13" s="309">
        <f>SUMIFS(CorpusTable[Invested],CorpusTable[Type],DashBoard!F10)</f>
        <v>2699100</v>
      </c>
      <c r="G13" s="310"/>
      <c r="H13" s="309">
        <f>SUMIFS(CorpusTable[Invested],CorpusTable[Type],DashBoard!H10)</f>
        <v>700000</v>
      </c>
    </row>
    <row r="14" spans="1:8" ht="15" x14ac:dyDescent="0.2">
      <c r="A14" s="299" t="s">
        <v>287</v>
      </c>
      <c r="B14" s="309">
        <f>SUMIFS(CorpusTable[Current Value],CorpusTable[Type],DashBoard!B10)</f>
        <v>5015237.8922699997</v>
      </c>
      <c r="C14" s="310"/>
      <c r="D14" s="309">
        <f>SUMIFS(CorpusTable[Current Value],CorpusTable[Type],DashBoard!D10)</f>
        <v>878605.97904000001</v>
      </c>
      <c r="E14" s="309">
        <f ca="1">SUMIFS(CorpusTable[Current Value],CorpusTable[Type],DashBoard!E10)</f>
        <v>1521019.54</v>
      </c>
      <c r="F14" s="309">
        <f ca="1">SUMIFS(CorpusTable[Current Value],CorpusTable[Type],DashBoard!F10)</f>
        <v>3479947.64</v>
      </c>
      <c r="G14" s="310"/>
      <c r="H14" s="309">
        <f>SUMIFS(CorpusTable[Current Value],CorpusTable[Type],DashBoard!H10)</f>
        <v>1650000</v>
      </c>
    </row>
    <row r="15" spans="1:8" ht="15.75" thickBot="1" x14ac:dyDescent="0.25">
      <c r="A15" s="299" t="s">
        <v>297</v>
      </c>
      <c r="B15" s="309">
        <f>SUMIFS(CorpusTable[Return],CorpusTable[Type],DashBoard!B10)</f>
        <v>2186150.8922699997</v>
      </c>
      <c r="C15" s="310"/>
      <c r="D15" s="309">
        <f>SUMIFS(CorpusTable[Return],CorpusTable[Type],DashBoard!D10)</f>
        <v>456167.97904000001</v>
      </c>
      <c r="E15" s="309">
        <f ca="1">SUMIFS(CorpusTable[Return],CorpusTable[Type],DashBoard!E10)</f>
        <v>480918.54000000004</v>
      </c>
      <c r="F15" s="309">
        <f ca="1">SUMIFS(CorpusTable[Return],CorpusTable[Type],DashBoard!F10)</f>
        <v>780847.64</v>
      </c>
      <c r="G15" s="310"/>
      <c r="H15" s="309">
        <f>SUMIFS(CorpusTable[Return],CorpusTable[Type],DashBoard!H10)</f>
        <v>950000</v>
      </c>
    </row>
    <row r="16" spans="1:8" ht="15.75" thickBot="1" x14ac:dyDescent="0.25">
      <c r="A16" s="299" t="s">
        <v>288</v>
      </c>
      <c r="B16" s="311">
        <f>SUMIFS(CorpusTable[Return%],CorpusTable[Type],DashBoard!B10)</f>
        <v>1.5464653898663558</v>
      </c>
      <c r="C16" s="297"/>
      <c r="D16" s="311">
        <f>SUMIFS(CorpusTable[Return%],CorpusTable[Type],DashBoard!D10)</f>
        <v>3.2641884529991163</v>
      </c>
      <c r="E16" s="311">
        <f ca="1">SUMIFS(CorpusTable[Return%],CorpusTable[Type],DashBoard!E10)</f>
        <v>0.46237676917914705</v>
      </c>
      <c r="F16" s="311">
        <f ca="1">SUMIFS(CorpusTable[Return%],CorpusTable[Type],DashBoard!F10)</f>
        <v>0.52474854249633152</v>
      </c>
      <c r="G16" s="297"/>
      <c r="H16" s="311">
        <f>SUMIFS(CorpusTable[Return%],CorpusTable[Type],DashBoard!H10)</f>
        <v>1.3571428571428572</v>
      </c>
    </row>
    <row r="17" spans="1:8" x14ac:dyDescent="0.2">
      <c r="A17" s="312"/>
    </row>
    <row r="18" spans="1:8" x14ac:dyDescent="0.2">
      <c r="B18" s="270" t="s">
        <v>168</v>
      </c>
      <c r="C18" s="271">
        <v>200000</v>
      </c>
      <c r="D18" s="272">
        <v>120000</v>
      </c>
      <c r="E18" s="273">
        <v>137000</v>
      </c>
      <c r="F18" s="274">
        <v>75000</v>
      </c>
      <c r="G18" s="274"/>
      <c r="H18" s="275">
        <v>400000</v>
      </c>
    </row>
    <row r="19" spans="1:8" x14ac:dyDescent="0.2">
      <c r="B19" s="250" t="s">
        <v>6</v>
      </c>
      <c r="C19" s="263" t="s">
        <v>165</v>
      </c>
      <c r="D19" s="264" t="s">
        <v>166</v>
      </c>
      <c r="E19" s="265" t="s">
        <v>170</v>
      </c>
      <c r="F19" s="266" t="s">
        <v>167</v>
      </c>
      <c r="G19" s="266" t="s">
        <v>256</v>
      </c>
      <c r="H19" s="267" t="s">
        <v>257</v>
      </c>
    </row>
    <row r="20" spans="1:8" x14ac:dyDescent="0.2">
      <c r="B20" s="249">
        <v>45962</v>
      </c>
      <c r="C20" s="248">
        <f>_xlfn.IFNA(INDEX( IncomeTable[Total In Hand], MATCH(Table3[[#This Row],[Month]], IncomeTable[Month], 0) ),0)</f>
        <v>360556</v>
      </c>
      <c r="D20" s="248">
        <f>_xlfn.IFNA(INDEX( ExpenseTable[Actual  Expense], MATCH(Table3[[#This Row],[Month]], ExpenseTable[Month], 0) ),0)</f>
        <v>76341</v>
      </c>
      <c r="E20" s="248">
        <f>_xlfn.IFNA(INDEX( LoanTable[Total Loan], MATCH(Table3[[#This Row],[Month]], LoanTable[Month], 0) ),0)</f>
        <v>244200</v>
      </c>
      <c r="F20" s="248">
        <f>_xlfn.IFNA(INDEX( InvestmentTable[Total Investment], MATCH(Table3[[#This Row],[Month]], InvestmentTable[Entry Month], 0) ),0)</f>
        <v>71670</v>
      </c>
      <c r="G20" s="248">
        <f>Table3[[#This Row],[Income]]-Table3[[#This Row],[Expense]]-Table3[[#This Row],[Loan Repayment]]-Table3[[#This Row],[Investment]]</f>
        <v>-31655</v>
      </c>
      <c r="H20" s="248">
        <f>_xlfn.IFNA(INDEX(RBITable[Transactions], MATCH(Table3[[#This Row],[Month]],RBITable[Month],0)),"")</f>
        <v>82008</v>
      </c>
    </row>
    <row r="21" spans="1:8" x14ac:dyDescent="0.2">
      <c r="B21" s="249">
        <v>45992</v>
      </c>
      <c r="C21" s="248">
        <f>_xlfn.IFNA(INDEX( IncomeTable[Total In Hand], MATCH(Table3[[#This Row],[Month]], IncomeTable[Month], 0) ),0)</f>
        <v>281023</v>
      </c>
      <c r="D21" s="248">
        <f>_xlfn.IFNA(INDEX( ExpenseTable[Actual  Expense], MATCH(Table3[[#This Row],[Month]], ExpenseTable[Month], 0) ),0)</f>
        <v>105100</v>
      </c>
      <c r="E21" s="248">
        <f>_xlfn.IFNA(INDEX( LoanTable[Total Loan], MATCH(Table3[[#This Row],[Month]], LoanTable[Month], 0) ),0)</f>
        <v>124803</v>
      </c>
      <c r="F21" s="248">
        <f>_xlfn.IFNA(INDEX( InvestmentTable[Total Investment], MATCH(Table3[[#This Row],[Month]], InvestmentTable[Entry Month], 0) ),0)</f>
        <v>86773</v>
      </c>
      <c r="G21" s="248">
        <f>Table3[[#This Row],[Income]]-Table3[[#This Row],[Expense]]-Table3[[#This Row],[Loan Repayment]]-Table3[[#This Row],[Investment]]</f>
        <v>-35653</v>
      </c>
      <c r="H21" s="248">
        <f>_xlfn.IFNA(INDEX(RBITable[Transactions], MATCH(Table3[[#This Row],[Month]],RBITable[Month],0)),"")</f>
        <v>35985</v>
      </c>
    </row>
    <row r="22" spans="1:8" x14ac:dyDescent="0.2">
      <c r="B22" s="249">
        <v>46023</v>
      </c>
      <c r="C22" s="248">
        <f>_xlfn.IFNA(INDEX( IncomeTable[Total In Hand], MATCH(Table3[[#This Row],[Month]], IncomeTable[Month], 0) ),0)</f>
        <v>256525</v>
      </c>
      <c r="D22" s="248">
        <f>_xlfn.IFNA(INDEX( ExpenseTable[Actual  Expense], MATCH(Table3[[#This Row],[Month]], ExpenseTable[Month], 0) ),0)</f>
        <v>121465</v>
      </c>
      <c r="E22" s="248">
        <f>_xlfn.IFNA(INDEX( LoanTable[Total Loan], MATCH(Table3[[#This Row],[Month]], LoanTable[Month], 0) ),0)</f>
        <v>158488</v>
      </c>
      <c r="F22" s="248">
        <f>_xlfn.IFNA(INDEX( InvestmentTable[Total Investment], MATCH(Table3[[#This Row],[Month]], InvestmentTable[Entry Month], 0) ),0)</f>
        <v>-26320</v>
      </c>
      <c r="G22" s="248">
        <f>Table3[[#This Row],[Income]]-Table3[[#This Row],[Expense]]-Table3[[#This Row],[Loan Repayment]]-Table3[[#This Row],[Investment]]</f>
        <v>2892</v>
      </c>
      <c r="H22" s="248">
        <f>_xlfn.IFNA(INDEX(RBITable[Transactions], MATCH(Table3[[#This Row],[Month]],RBITable[Month],0)),"")</f>
        <v>-10069</v>
      </c>
    </row>
    <row r="23" spans="1:8" x14ac:dyDescent="0.2">
      <c r="B23" s="249">
        <v>46054</v>
      </c>
      <c r="C23" s="248">
        <f>_xlfn.IFNA(INDEX( IncomeTable[Total In Hand], MATCH(Table3[[#This Row],[Month]], IncomeTable[Month], 0) ),0)</f>
        <v>207702</v>
      </c>
      <c r="D23" s="248">
        <f>_xlfn.IFNA(INDEX( ExpenseTable[Actual  Expense], MATCH(Table3[[#This Row],[Month]], ExpenseTable[Month], 0) ),0)</f>
        <v>71006</v>
      </c>
      <c r="E23" s="248">
        <f>_xlfn.IFNA(INDEX( LoanTable[Total Loan], MATCH(Table3[[#This Row],[Month]], LoanTable[Month], 0) ),0)</f>
        <v>154962</v>
      </c>
      <c r="F23" s="248">
        <f>_xlfn.IFNA(INDEX( InvestmentTable[Total Investment], MATCH(Table3[[#This Row],[Month]], InvestmentTable[Entry Month], 0) ),0)</f>
        <v>105136</v>
      </c>
      <c r="G23" s="248">
        <f>Table3[[#This Row],[Income]]-Table3[[#This Row],[Expense]]-Table3[[#This Row],[Loan Repayment]]-Table3[[#This Row],[Investment]]</f>
        <v>-123402</v>
      </c>
      <c r="H23" s="248">
        <f>_xlfn.IFNA(INDEX(RBITable[Transactions], MATCH(Table3[[#This Row],[Month]],RBITable[Month],0)),"")</f>
        <v>-56151</v>
      </c>
    </row>
    <row r="24" spans="1:8" x14ac:dyDescent="0.2">
      <c r="B24" s="249">
        <v>46082</v>
      </c>
      <c r="C24" s="477">
        <f>_xlfn.IFNA(INDEX( IncomeTable[Total In Hand], MATCH(Table3[[#This Row],[Month]], IncomeTable[Month], 0) ),0)</f>
        <v>263833</v>
      </c>
      <c r="D24" s="477">
        <f>_xlfn.IFNA(INDEX( ExpenseTable[Actual  Expense], MATCH(Table3[[#This Row],[Month]], ExpenseTable[Month], 0) ),0)</f>
        <v>113838</v>
      </c>
      <c r="E24" s="477">
        <f>_xlfn.IFNA(INDEX( LoanTable[Total Loan], MATCH(Table3[[#This Row],[Month]], LoanTable[Month], 0) ),0)</f>
        <v>152098</v>
      </c>
      <c r="F24" s="477">
        <f>_xlfn.IFNA(INDEX( InvestmentTable[Total Investment], MATCH(Table3[[#This Row],[Month]], InvestmentTable[Entry Month], 0) ),0)</f>
        <v>129873</v>
      </c>
      <c r="G24" s="477">
        <f>Table3[[#This Row],[Income]]-Table3[[#This Row],[Expense]]-Table3[[#This Row],[Loan Repayment]]-Table3[[#This Row],[Investment]]</f>
        <v>-131976</v>
      </c>
      <c r="H24" s="478">
        <f>_xlfn.IFNA(INDEX(RBITable[Transactions], MATCH(Table3[[#This Row],[Month]],RBITable[Month],0)),"")</f>
        <v>-102264</v>
      </c>
    </row>
    <row r="25" spans="1:8" x14ac:dyDescent="0.2">
      <c r="B25" s="249">
        <v>46113</v>
      </c>
      <c r="C25" s="248">
        <f>_xlfn.IFNA(INDEX( IncomeTable[Total In Hand], MATCH(Table3[[#This Row],[Month]], IncomeTable[Month], 0) ),0)</f>
        <v>0</v>
      </c>
      <c r="D25" s="248">
        <f>_xlfn.IFNA(INDEX( ExpenseTable[Actual  Expense], MATCH(Table3[[#This Row],[Month]], ExpenseTable[Month], 0) ),0)</f>
        <v>0</v>
      </c>
      <c r="E25" s="248">
        <f>_xlfn.IFNA(INDEX( LoanTable[Total Loan], MATCH(Table3[[#This Row],[Month]], LoanTable[Month], 0) ),0)</f>
        <v>0</v>
      </c>
      <c r="F25" s="248">
        <f>_xlfn.IFNA(INDEX( InvestmentTable[Total Investment], MATCH(Table3[[#This Row],[Month]], InvestmentTable[Entry Month], 0) ),0)</f>
        <v>0</v>
      </c>
      <c r="G25" s="248">
        <f>Table3[[#This Row],[Income]]-Table3[[#This Row],[Expense]]-Table3[[#This Row],[Loan Repayment]]-Table3[[#This Row],[Investment]]</f>
        <v>0</v>
      </c>
      <c r="H25" s="248">
        <f>_xlfn.IFNA(INDEX(RBITable[Transactions], MATCH(Table3[[#This Row],[Month]],RBITable[Month],0)),"")</f>
        <v>0</v>
      </c>
    </row>
    <row r="26" spans="1:8" x14ac:dyDescent="0.2">
      <c r="B26" s="262" t="s">
        <v>30</v>
      </c>
      <c r="C26" s="458">
        <f>SUBTOTAL(109,Table3[Income])</f>
        <v>1369639</v>
      </c>
      <c r="D26" s="458">
        <f>SUBTOTAL(109,Table3[Expense])</f>
        <v>487750</v>
      </c>
      <c r="E26" s="458">
        <f>SUBTOTAL(109,Table3[Loan Repayment])</f>
        <v>834551</v>
      </c>
      <c r="F26" s="458">
        <f>SUBTOTAL(109,Table3[Investment])</f>
        <v>367132</v>
      </c>
      <c r="G26" s="458">
        <f>SUBTOTAL(109,Table3[Savings])</f>
        <v>-319794</v>
      </c>
      <c r="H26" s="262"/>
    </row>
    <row r="27" spans="1:8" x14ac:dyDescent="0.2">
      <c r="B27" s="268" t="s">
        <v>263</v>
      </c>
      <c r="C27" s="443">
        <f>AVERAGEIF(Table3[Income],"&gt;0")</f>
        <v>273927.8</v>
      </c>
      <c r="D27" s="444">
        <f>AVERAGEIF(Table3[Expense],"&gt;0")</f>
        <v>97550</v>
      </c>
      <c r="E27" s="445">
        <f>AVERAGEIF(Table3[Loan Repayment],"&gt;0")</f>
        <v>166910.20000000001</v>
      </c>
      <c r="F27" s="446">
        <f>AVERAGEIF(Table3[Investment],"&gt;0")</f>
        <v>98363</v>
      </c>
      <c r="G27" s="446">
        <f>AVERAGE(Table3[Savings])</f>
        <v>-53299</v>
      </c>
      <c r="H27" s="269"/>
    </row>
  </sheetData>
  <conditionalFormatting sqref="D3">
    <cfRule type="cellIs" dxfId="52" priority="1" operator="lessThan">
      <formula>200000</formula>
    </cfRule>
    <cfRule type="cellIs" dxfId="51" priority="2" operator="between">
      <formula>200000</formula>
      <formula>250000</formula>
    </cfRule>
    <cfRule type="cellIs" dxfId="50" priority="3" operator="greaterThan">
      <formula>250000</formula>
    </cfRule>
  </conditionalFormatting>
  <conditionalFormatting sqref="D4">
    <cfRule type="expression" dxfId="49" priority="4">
      <formula>$D$3*50%&gt;$D$4</formula>
    </cfRule>
    <cfRule type="expression" dxfId="48" priority="5">
      <formula>$D$3*50%&lt;$D$4</formula>
    </cfRule>
  </conditionalFormatting>
  <conditionalFormatting sqref="D5">
    <cfRule type="expression" dxfId="47" priority="6">
      <formula>$D$3*20% &lt;$D$5</formula>
    </cfRule>
  </conditionalFormatting>
  <conditionalFormatting sqref="H3">
    <cfRule type="expression" dxfId="46" priority="9" stopIfTrue="1">
      <formula>($D$3*15%) &gt;$H$3</formula>
    </cfRule>
    <cfRule type="expression" dxfId="45" priority="10" stopIfTrue="1">
      <formula>($D$3*15%)&lt;$H$3</formula>
    </cfRule>
    <cfRule type="expression" dxfId="44" priority="11" stopIfTrue="1">
      <formula>($D$3*25%)&lt;$H$3</formula>
    </cfRule>
  </conditionalFormatting>
  <conditionalFormatting sqref="H4">
    <cfRule type="expression" dxfId="43" priority="7" stopIfTrue="1">
      <formula>$D$3*10% &lt;$H$4</formula>
    </cfRule>
    <cfRule type="expression" dxfId="42" priority="8" stopIfTrue="1">
      <formula>$D$3*10% &gt;$H$4</formula>
    </cfRule>
  </conditionalFormatting>
  <conditionalFormatting sqref="H5">
    <cfRule type="cellIs" dxfId="41" priority="12" operator="between">
      <formula>50001</formula>
      <formula>249999</formula>
    </cfRule>
    <cfRule type="cellIs" dxfId="40" priority="13" operator="lessThan">
      <formula>50000</formula>
    </cfRule>
    <cfRule type="cellIs" dxfId="39" priority="14" operator="greaterThan">
      <formula>250000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" id="{4E64ACE4-91A1-4EB2-978C-9A58B595B6D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H20:H25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8DBF-123E-4202-B35F-CF0E5E0DEE30}">
  <sheetPr>
    <tabColor rgb="FF92D050"/>
  </sheetPr>
  <dimension ref="B2:O11"/>
  <sheetViews>
    <sheetView workbookViewId="0">
      <selection activeCell="M8" sqref="M8"/>
    </sheetView>
  </sheetViews>
  <sheetFormatPr defaultColWidth="11.85546875" defaultRowHeight="12.75" x14ac:dyDescent="0.2"/>
  <cols>
    <col min="1" max="1" width="3" style="1" customWidth="1"/>
    <col min="2" max="16384" width="11.85546875" style="1"/>
  </cols>
  <sheetData>
    <row r="2" spans="2:15" x14ac:dyDescent="0.2">
      <c r="B2" s="109" t="s">
        <v>141</v>
      </c>
      <c r="C2" s="109">
        <v>110854</v>
      </c>
    </row>
    <row r="3" spans="2:15" s="14" customFormat="1" ht="33" customHeight="1" x14ac:dyDescent="0.2">
      <c r="B3" s="15" t="s">
        <v>5</v>
      </c>
      <c r="C3" s="15" t="s">
        <v>6</v>
      </c>
      <c r="D3" s="15" t="s">
        <v>145</v>
      </c>
      <c r="E3" s="16" t="s">
        <v>23</v>
      </c>
      <c r="F3" s="16" t="s">
        <v>24</v>
      </c>
      <c r="G3" s="16" t="s">
        <v>25</v>
      </c>
      <c r="H3" s="16" t="s">
        <v>26</v>
      </c>
      <c r="I3" s="16" t="s">
        <v>27</v>
      </c>
      <c r="J3" s="16" t="s">
        <v>28</v>
      </c>
      <c r="K3" s="16" t="s">
        <v>0</v>
      </c>
      <c r="L3" s="17" t="s">
        <v>1</v>
      </c>
      <c r="M3" s="17" t="s">
        <v>2</v>
      </c>
      <c r="N3" s="17" t="s">
        <v>3</v>
      </c>
      <c r="O3" s="17" t="s">
        <v>4</v>
      </c>
    </row>
    <row r="4" spans="2:15" x14ac:dyDescent="0.2">
      <c r="B4" s="18" t="str">
        <f>TEXT(IncomeTable[[#This Row],[Month]],"YYYY")</f>
        <v>2025</v>
      </c>
      <c r="C4" s="19">
        <v>45962</v>
      </c>
      <c r="D4" s="18">
        <f>SUM(IncomeTable[[#This Row],[Salary Credit]:[Loan Return]])-IncomeTable[[#This Row],[NPS Deduction]]-IncomeTable[[#This Row],[EPF Deduction]]</f>
        <v>360556</v>
      </c>
      <c r="E4" s="18">
        <v>196352</v>
      </c>
      <c r="F4" s="18">
        <v>15515</v>
      </c>
      <c r="G4" s="18">
        <v>26604</v>
      </c>
      <c r="H4" s="18">
        <v>22170</v>
      </c>
      <c r="I4" s="18">
        <v>1920</v>
      </c>
      <c r="J4" s="18">
        <v>0</v>
      </c>
      <c r="K4" s="18">
        <v>140114</v>
      </c>
      <c r="L4" s="18">
        <v>0</v>
      </c>
      <c r="M4" s="18">
        <v>0</v>
      </c>
      <c r="N4" s="18">
        <v>0</v>
      </c>
      <c r="O4" s="18">
        <v>0</v>
      </c>
    </row>
    <row r="5" spans="2:15" x14ac:dyDescent="0.2">
      <c r="B5" s="18" t="str">
        <f>TEXT(IncomeTable[[#This Row],[Month]],"YYYY")</f>
        <v>2025</v>
      </c>
      <c r="C5" s="19">
        <v>45992</v>
      </c>
      <c r="D5" s="18">
        <f>SUM(IncomeTable[[#This Row],[Salary Credit]:[Loan Return]])-IncomeTable[[#This Row],[NPS Deduction]]-IncomeTable[[#This Row],[EPF Deduction]]</f>
        <v>281023</v>
      </c>
      <c r="E5" s="18">
        <v>196933</v>
      </c>
      <c r="F5" s="18">
        <v>15515</v>
      </c>
      <c r="G5" s="18">
        <v>26604</v>
      </c>
      <c r="H5" s="18">
        <v>22170</v>
      </c>
      <c r="I5" s="18">
        <v>1920</v>
      </c>
      <c r="J5" s="18">
        <v>0</v>
      </c>
      <c r="K5" s="18">
        <v>0</v>
      </c>
      <c r="L5" s="18">
        <v>0</v>
      </c>
      <c r="M5" s="18">
        <v>0</v>
      </c>
      <c r="N5" s="18">
        <v>60000</v>
      </c>
      <c r="O5" s="18">
        <v>0</v>
      </c>
    </row>
    <row r="6" spans="2:15" x14ac:dyDescent="0.2">
      <c r="B6" s="18" t="str">
        <f>TEXT(IncomeTable[[#This Row],[Month]],"YYYY")</f>
        <v>2026</v>
      </c>
      <c r="C6" s="19">
        <v>46023</v>
      </c>
      <c r="D6" s="18">
        <f>SUM(IncomeTable[[#This Row],[Salary Credit]:[Loan Return]])-IncomeTable[[#This Row],[NPS Deduction]]-IncomeTable[[#This Row],[EPF Deduction]]</f>
        <v>256525</v>
      </c>
      <c r="E6" s="18">
        <v>197435</v>
      </c>
      <c r="F6" s="18">
        <v>15515</v>
      </c>
      <c r="G6" s="18">
        <v>26604</v>
      </c>
      <c r="H6" s="18">
        <v>22170</v>
      </c>
      <c r="I6" s="18">
        <v>1920</v>
      </c>
      <c r="J6" s="18">
        <v>0</v>
      </c>
      <c r="K6" s="18">
        <v>0</v>
      </c>
      <c r="L6" s="18">
        <v>0</v>
      </c>
      <c r="M6" s="18">
        <v>0</v>
      </c>
      <c r="N6" s="18">
        <v>35000</v>
      </c>
      <c r="O6" s="18">
        <v>0</v>
      </c>
    </row>
    <row r="7" spans="2:15" x14ac:dyDescent="0.2">
      <c r="B7" s="18" t="str">
        <f>TEXT(IncomeTable[[#This Row],[Month]],"YYYY")</f>
        <v>2026</v>
      </c>
      <c r="C7" s="19">
        <v>46054</v>
      </c>
      <c r="D7" s="18">
        <f>SUM(IncomeTable[[#This Row],[Salary Credit]:[Loan Return]])-IncomeTable[[#This Row],[NPS Deduction]]-IncomeTable[[#This Row],[EPF Deduction]]</f>
        <v>207702</v>
      </c>
      <c r="E7" s="18">
        <v>158612</v>
      </c>
      <c r="F7" s="18">
        <v>15515</v>
      </c>
      <c r="G7" s="18">
        <v>26604</v>
      </c>
      <c r="H7" s="18">
        <v>22170</v>
      </c>
      <c r="I7" s="18">
        <v>1920</v>
      </c>
      <c r="J7" s="18">
        <v>25000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</row>
    <row r="8" spans="2:15" x14ac:dyDescent="0.2">
      <c r="B8" s="18" t="str">
        <f>TEXT(IncomeTable[[#This Row],[Month]],"YYYY")</f>
        <v>2026</v>
      </c>
      <c r="C8" s="19">
        <v>46082</v>
      </c>
      <c r="D8" s="18">
        <f>SUM(IncomeTable[[#This Row],[Salary Credit]:[Loan Return]])-IncomeTable[[#This Row],[NPS Deduction]]-IncomeTable[[#This Row],[EPF Deduction]]</f>
        <v>263833</v>
      </c>
      <c r="E8" s="18">
        <f>144815+8068</f>
        <v>152883</v>
      </c>
      <c r="F8" s="18">
        <v>15515</v>
      </c>
      <c r="G8" s="18">
        <v>26004</v>
      </c>
      <c r="H8" s="18">
        <v>22170</v>
      </c>
      <c r="I8" s="18">
        <v>1920</v>
      </c>
      <c r="J8" s="18">
        <v>25000</v>
      </c>
      <c r="K8" s="18">
        <v>0</v>
      </c>
      <c r="L8" s="18">
        <v>0</v>
      </c>
      <c r="M8" s="18">
        <v>0</v>
      </c>
      <c r="N8" s="18">
        <f>35000+26860</f>
        <v>61860</v>
      </c>
      <c r="O8" s="18">
        <v>0</v>
      </c>
    </row>
    <row r="9" spans="2:15" x14ac:dyDescent="0.2">
      <c r="B9" s="18" t="str">
        <f>TEXT(IncomeTable[[#This Row],[Month]],"YYYY")</f>
        <v>2026</v>
      </c>
      <c r="C9" s="19">
        <v>46113</v>
      </c>
      <c r="D9" s="18">
        <f>SUM(IncomeTable[[#This Row],[Salary Credit]:[Loan Return]])-IncomeTable[[#This Row],[NPS Deduction]]-IncomeTable[[#This Row],[EPF Deduction]]</f>
        <v>0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2:15" ht="13.5" thickBot="1" x14ac:dyDescent="0.25">
      <c r="B10" s="15" t="s">
        <v>30</v>
      </c>
      <c r="C10" s="15"/>
      <c r="D10" s="210">
        <f>SUBTOTAL(109,IncomeTable[Total In Hand])</f>
        <v>1369639</v>
      </c>
      <c r="E10" s="16">
        <f>SUBTOTAL(109,IncomeTable[Salary Credit])</f>
        <v>902215</v>
      </c>
      <c r="F10" s="16">
        <f>SUBTOTAL(109,IncomeTable[NPS Deduction])</f>
        <v>77575</v>
      </c>
      <c r="G10" s="16">
        <f>SUBTOTAL(109,IncomeTable[EPF Deduction])</f>
        <v>132420</v>
      </c>
      <c r="H10" s="16">
        <f>SUBTOTAL(109,IncomeTable[EPF Loan Deduction])</f>
        <v>110850</v>
      </c>
      <c r="I10" s="16">
        <f>SUBTOTAL(109,IncomeTable[Lease Phone Deduction])</f>
        <v>9600</v>
      </c>
      <c r="J10" s="16">
        <f>SUBTOTAL(109,IncomeTable[Lease Vehcile Dedution])</f>
        <v>50000</v>
      </c>
      <c r="K10" s="16">
        <f>SUBTOTAL(109,IncomeTable[Incentive Bonus])</f>
        <v>140114</v>
      </c>
      <c r="L10" s="17">
        <f>SUBTOTAL(109,IncomeTable[Rati])</f>
        <v>0</v>
      </c>
      <c r="M10" s="17">
        <f>SUBTOTAL(109,IncomeTable[Family])</f>
        <v>0</v>
      </c>
      <c r="N10" s="17">
        <f>SUBTOTAL(109,IncomeTable[Investment Return])</f>
        <v>156860</v>
      </c>
      <c r="O10" s="17">
        <f>SUBTOTAL(109,IncomeTable[Loan Return])</f>
        <v>0</v>
      </c>
    </row>
    <row r="11" spans="2:15" ht="13.5" thickTop="1" x14ac:dyDescent="0.2">
      <c r="B11" s="129" t="s">
        <v>169</v>
      </c>
      <c r="C11" s="130"/>
      <c r="D11" s="209">
        <f>AVERAGE(IncomeTable[Total In Hand])</f>
        <v>228273.16666666666</v>
      </c>
      <c r="E11" s="131">
        <f>AVERAGE(IncomeTable[Salary Credit])</f>
        <v>180443</v>
      </c>
      <c r="F11" s="131">
        <f>AVERAGE(IncomeTable[NPS Deduction])</f>
        <v>15515</v>
      </c>
      <c r="G11" s="131">
        <f>AVERAGE(IncomeTable[EPF Deduction])</f>
        <v>26484</v>
      </c>
      <c r="H11" s="131">
        <f>AVERAGE(IncomeTable[EPF Loan Deduction])</f>
        <v>22170</v>
      </c>
      <c r="I11" s="131">
        <f>AVERAGE(IncomeTable[Lease Phone Deduction])</f>
        <v>1920</v>
      </c>
      <c r="J11" s="131">
        <f>AVERAGE(IncomeTable[Lease Vehcile Dedution])</f>
        <v>10000</v>
      </c>
      <c r="K11" s="131">
        <f>AVERAGE(IncomeTable[Incentive Bonus])</f>
        <v>28022.799999999999</v>
      </c>
      <c r="L11" s="132">
        <f>AVERAGE(IncomeTable[Rati])</f>
        <v>0</v>
      </c>
      <c r="M11" s="132">
        <f>AVERAGE(IncomeTable[Family])</f>
        <v>0</v>
      </c>
      <c r="N11" s="132">
        <f>AVERAGE(IncomeTable[Investment Return])</f>
        <v>31372</v>
      </c>
      <c r="O11" s="133">
        <f>AVERAGE(IncomeTable[Loan Return])</f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34D5-972C-407A-99B4-79E0ED46993D}">
  <sheetPr>
    <tabColor rgb="FFFFC000"/>
  </sheetPr>
  <dimension ref="B1:L12"/>
  <sheetViews>
    <sheetView workbookViewId="0">
      <selection activeCell="F10" sqref="F10"/>
    </sheetView>
  </sheetViews>
  <sheetFormatPr defaultColWidth="9.140625" defaultRowHeight="12.75" x14ac:dyDescent="0.2"/>
  <cols>
    <col min="1" max="1" width="9.140625" style="1"/>
    <col min="2" max="2" width="14.7109375" style="1" bestFit="1" customWidth="1"/>
    <col min="3" max="3" width="18" style="1" bestFit="1" customWidth="1"/>
    <col min="4" max="4" width="13" style="1" bestFit="1" customWidth="1"/>
    <col min="5" max="6" width="13.140625" style="1" bestFit="1" customWidth="1"/>
    <col min="7" max="7" width="14" style="1" bestFit="1" customWidth="1"/>
    <col min="8" max="8" width="13.42578125" style="1" bestFit="1" customWidth="1"/>
    <col min="9" max="9" width="15.140625" style="1" bestFit="1" customWidth="1"/>
    <col min="10" max="10" width="12.85546875" style="1" bestFit="1" customWidth="1"/>
    <col min="11" max="11" width="11.140625" style="1" bestFit="1" customWidth="1"/>
    <col min="12" max="12" width="11.7109375" style="1" bestFit="1" customWidth="1"/>
    <col min="13" max="16384" width="9.140625" style="1"/>
  </cols>
  <sheetData>
    <row r="1" spans="2:12" ht="13.5" thickBot="1" x14ac:dyDescent="0.25"/>
    <row r="2" spans="2:12" x14ac:dyDescent="0.2">
      <c r="B2" s="71" t="s">
        <v>161</v>
      </c>
      <c r="C2" s="72">
        <f>SUM(E2:L2)</f>
        <v>1466559</v>
      </c>
      <c r="D2" s="69">
        <f>12*D3</f>
        <v>2082996</v>
      </c>
      <c r="E2" s="55">
        <f>200000+50000</f>
        <v>250000</v>
      </c>
      <c r="F2" s="55">
        <f>25000+15000+20000</f>
        <v>60000</v>
      </c>
      <c r="G2" s="55">
        <v>720000</v>
      </c>
      <c r="H2" s="56">
        <v>150000</v>
      </c>
      <c r="I2" s="56">
        <v>120000</v>
      </c>
      <c r="J2" s="57">
        <v>60000</v>
      </c>
      <c r="K2" s="57">
        <v>60000</v>
      </c>
      <c r="L2" s="26">
        <f>_xlfn.CEILING.MATH(12*(BasicSalary*3.5%))</f>
        <v>46559</v>
      </c>
    </row>
    <row r="3" spans="2:12" ht="13.5" thickBot="1" x14ac:dyDescent="0.25">
      <c r="B3" s="73" t="s">
        <v>163</v>
      </c>
      <c r="C3" s="74">
        <f>SUM(E3:L3)</f>
        <v>122214</v>
      </c>
      <c r="D3" s="69">
        <f>Loan!D3</f>
        <v>173583</v>
      </c>
      <c r="E3" s="55">
        <f>_xlfn.CEILING.MATH(E2/12)</f>
        <v>20834</v>
      </c>
      <c r="F3" s="55">
        <f t="shared" ref="F3:L3" si="0">_xlfn.CEILING.MATH(F2/12)</f>
        <v>5000</v>
      </c>
      <c r="G3" s="55">
        <f t="shared" si="0"/>
        <v>60000</v>
      </c>
      <c r="H3" s="56">
        <f t="shared" si="0"/>
        <v>12500</v>
      </c>
      <c r="I3" s="56">
        <f t="shared" si="0"/>
        <v>10000</v>
      </c>
      <c r="J3" s="57">
        <f t="shared" si="0"/>
        <v>5000</v>
      </c>
      <c r="K3" s="57">
        <f t="shared" si="0"/>
        <v>5000</v>
      </c>
      <c r="L3" s="26">
        <f t="shared" si="0"/>
        <v>3880</v>
      </c>
    </row>
    <row r="4" spans="2:12" ht="13.5" thickBot="1" x14ac:dyDescent="0.25">
      <c r="B4" s="75" t="s">
        <v>6</v>
      </c>
      <c r="C4" s="76" t="s">
        <v>164</v>
      </c>
      <c r="D4" s="85" t="s">
        <v>162</v>
      </c>
      <c r="E4" s="58" t="s">
        <v>260</v>
      </c>
      <c r="F4" s="58" t="s">
        <v>154</v>
      </c>
      <c r="G4" s="58" t="s">
        <v>155</v>
      </c>
      <c r="H4" s="59" t="s">
        <v>157</v>
      </c>
      <c r="I4" s="59" t="s">
        <v>158</v>
      </c>
      <c r="J4" s="60" t="s">
        <v>156</v>
      </c>
      <c r="K4" s="61" t="s">
        <v>160</v>
      </c>
      <c r="L4" s="86" t="s">
        <v>159</v>
      </c>
    </row>
    <row r="5" spans="2:12" ht="13.5" thickBot="1" x14ac:dyDescent="0.25">
      <c r="B5" s="77">
        <v>45962</v>
      </c>
      <c r="C5" s="78">
        <f>SUM(ExpenseTable[[#This Row],[Kid]:[Support]])</f>
        <v>76341</v>
      </c>
      <c r="D5" s="79">
        <f>_xlfn.IFNA(INDEX( LoanTable[Total Loan], MATCH(ExpenseTable[[#This Row],[Month]], LoanTable[Month], 0) ),0)</f>
        <v>244200</v>
      </c>
      <c r="E5" s="80">
        <v>2019</v>
      </c>
      <c r="F5" s="80">
        <f>1400+549+1100</f>
        <v>3049</v>
      </c>
      <c r="G5" s="80">
        <f>10000+8337+5080+3109+2386+1660</f>
        <v>30572</v>
      </c>
      <c r="H5" s="80">
        <v>11272</v>
      </c>
      <c r="I5" s="80">
        <v>5076</v>
      </c>
      <c r="J5" s="80">
        <v>14788</v>
      </c>
      <c r="K5" s="80">
        <v>4684</v>
      </c>
      <c r="L5" s="80">
        <v>4881</v>
      </c>
    </row>
    <row r="6" spans="2:12" ht="13.5" thickBot="1" x14ac:dyDescent="0.25">
      <c r="B6" s="208">
        <v>45992</v>
      </c>
      <c r="C6" s="78">
        <f>SUM(ExpenseTable[[#This Row],[Kid]:[Support]])</f>
        <v>105100</v>
      </c>
      <c r="D6" s="81">
        <f>_xlfn.IFNA(INDEX( LoanTable[Total Loan], MATCH(ExpenseTable[[#This Row],[Month]], LoanTable[Month], 0) ),0)</f>
        <v>124803</v>
      </c>
      <c r="E6" s="82">
        <v>1193</v>
      </c>
      <c r="F6" s="82">
        <f>938+492+7494+199</f>
        <v>9123</v>
      </c>
      <c r="G6" s="82">
        <f>10260+7494+6341+500+3440+680+2047+827+99+335+1985+569+5600+5199+440+1450+1272+2494</f>
        <v>51032</v>
      </c>
      <c r="H6" s="82">
        <f>10500+6320+4480+5014+750-300</f>
        <v>26764</v>
      </c>
      <c r="I6" s="82">
        <v>3440</v>
      </c>
      <c r="J6" s="82">
        <v>2998</v>
      </c>
      <c r="K6" s="82">
        <f>2450+5900</f>
        <v>8350</v>
      </c>
      <c r="L6" s="82">
        <v>2200</v>
      </c>
    </row>
    <row r="7" spans="2:12" ht="13.5" thickBot="1" x14ac:dyDescent="0.25">
      <c r="B7" s="226">
        <v>46023</v>
      </c>
      <c r="C7" s="227">
        <f>SUM(ExpenseTable[[#This Row],[Kid]:[Support]])</f>
        <v>121465</v>
      </c>
      <c r="D7" s="228">
        <f>_xlfn.IFNA(INDEX( LoanTable[Total Loan], MATCH(ExpenseTable[[#This Row],[Month]], LoanTable[Month], 0) ),0)</f>
        <v>158488</v>
      </c>
      <c r="E7" s="228">
        <v>845</v>
      </c>
      <c r="F7" s="228">
        <f>17950+4430+199+1112+2348</f>
        <v>26039</v>
      </c>
      <c r="G7" s="228">
        <f>15311+9591+6483+5350+5267</f>
        <v>42002</v>
      </c>
      <c r="H7" s="228">
        <v>32383</v>
      </c>
      <c r="I7" s="228">
        <v>13737</v>
      </c>
      <c r="J7" s="228">
        <v>445</v>
      </c>
      <c r="K7" s="228">
        <f>522+2894</f>
        <v>3416</v>
      </c>
      <c r="L7" s="79">
        <v>2598</v>
      </c>
    </row>
    <row r="8" spans="2:12" ht="13.5" thickBot="1" x14ac:dyDescent="0.25">
      <c r="B8" s="226">
        <v>46054</v>
      </c>
      <c r="C8" s="227">
        <f>SUM(ExpenseTable[[#This Row],[Kid]:[Support]])</f>
        <v>71006</v>
      </c>
      <c r="D8" s="228">
        <f>_xlfn.IFNA(INDEX( LoanTable[Total Loan], MATCH(ExpenseTable[[#This Row],[Month]], LoanTable[Month], 0) ),0)</f>
        <v>154962</v>
      </c>
      <c r="E8" s="228">
        <v>1500</v>
      </c>
      <c r="F8" s="228">
        <f>800+199+150</f>
        <v>1149</v>
      </c>
      <c r="G8" s="228">
        <f>21960+2819+691</f>
        <v>25470</v>
      </c>
      <c r="H8" s="228">
        <f>7743+173</f>
        <v>7916</v>
      </c>
      <c r="I8" s="228">
        <v>24777</v>
      </c>
      <c r="J8" s="228">
        <v>6123</v>
      </c>
      <c r="K8" s="228">
        <v>2430</v>
      </c>
      <c r="L8" s="79">
        <v>1641</v>
      </c>
    </row>
    <row r="9" spans="2:12" ht="13.5" thickBot="1" x14ac:dyDescent="0.25">
      <c r="B9" s="226">
        <v>46082</v>
      </c>
      <c r="C9" s="227">
        <f>SUM(ExpenseTable[[#This Row],[Kid]:[Support]])</f>
        <v>113838</v>
      </c>
      <c r="D9" s="466">
        <f>_xlfn.IFNA(INDEX( LoanTable[Total Loan], MATCH(ExpenseTable[[#This Row],[Month]], LoanTable[Month], 0) ),0)</f>
        <v>152098</v>
      </c>
      <c r="E9" s="228">
        <v>6097</v>
      </c>
      <c r="F9" s="466">
        <f>16551+199+35</f>
        <v>16785</v>
      </c>
      <c r="G9" s="466">
        <f>28951+9867+6513+5579+3003+3988</f>
        <v>57901</v>
      </c>
      <c r="H9" s="228">
        <v>1150</v>
      </c>
      <c r="I9" s="228">
        <v>6598</v>
      </c>
      <c r="J9" s="466">
        <v>20612</v>
      </c>
      <c r="K9" s="228">
        <v>2901</v>
      </c>
      <c r="L9" s="79">
        <v>1794</v>
      </c>
    </row>
    <row r="10" spans="2:12" ht="13.5" thickBot="1" x14ac:dyDescent="0.25">
      <c r="B10" s="226">
        <v>46113</v>
      </c>
      <c r="C10" s="227">
        <f>SUM(ExpenseTable[[#This Row],[Kid]:[Support]])</f>
        <v>0</v>
      </c>
      <c r="D10" s="228">
        <f>_xlfn.IFNA(INDEX( LoanTable[Total Loan], MATCH(ExpenseTable[[#This Row],[Month]], LoanTable[Month], 0) ),0)</f>
        <v>0</v>
      </c>
      <c r="E10" s="228"/>
      <c r="F10" s="228"/>
      <c r="G10" s="228"/>
      <c r="H10" s="228"/>
      <c r="I10" s="228"/>
      <c r="J10" s="228"/>
      <c r="K10" s="228"/>
      <c r="L10" s="79"/>
    </row>
    <row r="11" spans="2:12" ht="13.5" thickBot="1" x14ac:dyDescent="0.25">
      <c r="B11" s="83" t="s">
        <v>30</v>
      </c>
      <c r="C11" s="84">
        <f>SUBTOTAL(109,ExpenseTable[Actual  Expense])</f>
        <v>487750</v>
      </c>
      <c r="D11" s="70">
        <f>SUBTOTAL(109,ExpenseTable[Loan EMI])</f>
        <v>834551</v>
      </c>
      <c r="E11" s="55">
        <f>SUBTOTAL(109,ExpenseTable[Kid])</f>
        <v>11654</v>
      </c>
      <c r="F11" s="55">
        <f>SUBTOTAL(109,ExpenseTable[Payments])</f>
        <v>56145</v>
      </c>
      <c r="G11" s="55">
        <f>SUBTOTAL(109,ExpenseTable[HouseHold])</f>
        <v>206977</v>
      </c>
      <c r="H11" s="56">
        <f>SUBTOTAL(109,ExpenseTable[Transport])</f>
        <v>79485</v>
      </c>
      <c r="I11" s="56">
        <f>SUBTOTAL(109,ExpenseTable[Family Care])</f>
        <v>53628</v>
      </c>
      <c r="J11" s="57">
        <f>SUBTOTAL(109,ExpenseTable[Shopping])</f>
        <v>44966</v>
      </c>
      <c r="K11" s="57">
        <f>SUBTOTAL(109,ExpenseTable[Luxary])</f>
        <v>21781</v>
      </c>
      <c r="L11" s="26">
        <f>SUBTOTAL(109,ExpenseTable[Support])</f>
        <v>13114</v>
      </c>
    </row>
    <row r="12" spans="2:12" x14ac:dyDescent="0.2">
      <c r="B12" s="126" t="s">
        <v>169</v>
      </c>
      <c r="C12" s="127">
        <f>IFERROR(AVERAGE(ExpenseTable[Actual  Expense]),0)</f>
        <v>81291.666666666672</v>
      </c>
      <c r="D12" s="128">
        <f>IFERROR(AVERAGE(ExpenseTable[Loan EMI]),0)</f>
        <v>139091.83333333334</v>
      </c>
      <c r="E12" s="55">
        <f>IFERROR(AVERAGE(ExpenseTable[Kid]),0)</f>
        <v>2330.8000000000002</v>
      </c>
      <c r="F12" s="55">
        <f>IFERROR(AVERAGE(ExpenseTable[Payments]),0)</f>
        <v>11229</v>
      </c>
      <c r="G12" s="55">
        <f>IFERROR(AVERAGE(ExpenseTable[HouseHold]),0)</f>
        <v>41395.4</v>
      </c>
      <c r="H12" s="56">
        <f>IFERROR(AVERAGE(ExpenseTable[Transport]),0)</f>
        <v>15897</v>
      </c>
      <c r="I12" s="56">
        <f>IFERROR(AVERAGE(ExpenseTable[Family Care]),0)</f>
        <v>10725.6</v>
      </c>
      <c r="J12" s="57">
        <f>IFERROR(AVERAGE(ExpenseTable[Shopping]),0)</f>
        <v>8993.2000000000007</v>
      </c>
      <c r="K12" s="57">
        <f>IFERROR(AVERAGE(ExpenseTable[Luxary]),0)</f>
        <v>4356.2</v>
      </c>
      <c r="L12" s="26">
        <f>IFERROR(AVERAGE(ExpenseTable[Support]),0)</f>
        <v>2622.8</v>
      </c>
    </row>
  </sheetData>
  <pageMargins left="0.7" right="0.7" top="0.75" bottom="0.75" header="0.3" footer="0.3"/>
  <ignoredErrors>
    <ignoredError sqref="J5:J6 G5 F5" calculatedColumn="1"/>
  </ignoredErrors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D93A-1488-4EA3-830F-71730D4DC004}">
  <sheetPr>
    <tabColor rgb="FFFF0000"/>
  </sheetPr>
  <dimension ref="B1:T40"/>
  <sheetViews>
    <sheetView topLeftCell="B1" workbookViewId="0">
      <selection activeCell="I10" sqref="I10"/>
    </sheetView>
  </sheetViews>
  <sheetFormatPr defaultColWidth="7.85546875" defaultRowHeight="15" x14ac:dyDescent="0.25"/>
  <cols>
    <col min="1" max="1" width="7.85546875" style="4"/>
    <col min="2" max="2" width="7.42578125" style="4" bestFit="1" customWidth="1"/>
    <col min="3" max="3" width="9.28515625" style="4" bestFit="1" customWidth="1"/>
    <col min="4" max="4" width="7.85546875" style="4" bestFit="1" customWidth="1"/>
    <col min="5" max="5" width="8.7109375" style="4" bestFit="1" customWidth="1"/>
    <col min="6" max="6" width="11.140625" style="4" bestFit="1" customWidth="1"/>
    <col min="7" max="7" width="11.140625" style="4" customWidth="1"/>
    <col min="8" max="8" width="8.140625" style="4" bestFit="1" customWidth="1"/>
    <col min="9" max="9" width="7.85546875" style="4" bestFit="1" customWidth="1"/>
    <col min="10" max="10" width="7.85546875" style="4" customWidth="1"/>
    <col min="11" max="11" width="10.85546875" style="4" bestFit="1" customWidth="1"/>
    <col min="12" max="12" width="13.28515625" style="4" bestFit="1" customWidth="1"/>
    <col min="13" max="13" width="9.28515625" style="4" bestFit="1" customWidth="1"/>
    <col min="14" max="15" width="11.42578125" style="4" bestFit="1" customWidth="1"/>
    <col min="16" max="16" width="10" style="4" bestFit="1" customWidth="1"/>
    <col min="17" max="17" width="18.28515625" style="54" bestFit="1" customWidth="1"/>
    <col min="18" max="18" width="16.42578125" style="20" customWidth="1"/>
    <col min="19" max="19" width="7.7109375" style="4" customWidth="1"/>
    <col min="20" max="20" width="7.85546875" style="4" customWidth="1"/>
    <col min="21" max="21" width="8" style="4" customWidth="1"/>
    <col min="22" max="26" width="7.85546875" style="4" customWidth="1"/>
    <col min="27" max="16384" width="7.85546875" style="4"/>
  </cols>
  <sheetData>
    <row r="1" spans="2:20" ht="13.5" thickBot="1" x14ac:dyDescent="0.3">
      <c r="Q1" s="20"/>
      <c r="R1" s="4"/>
    </row>
    <row r="2" spans="2:20" s="30" customFormat="1" ht="15" customHeight="1" thickBot="1" x14ac:dyDescent="0.3">
      <c r="B2" s="459" t="s">
        <v>32</v>
      </c>
      <c r="C2" s="460"/>
      <c r="D2" s="460"/>
      <c r="E2" s="23">
        <v>4888992</v>
      </c>
      <c r="F2" s="23">
        <v>278700</v>
      </c>
      <c r="G2" s="23">
        <v>1574800</v>
      </c>
      <c r="H2" s="23">
        <v>471495</v>
      </c>
      <c r="I2" s="24">
        <f>1200000-(23000*5)</f>
        <v>1085000</v>
      </c>
      <c r="J2" s="24">
        <v>120000</v>
      </c>
      <c r="K2" s="25">
        <v>89000</v>
      </c>
      <c r="L2" s="26">
        <v>56500</v>
      </c>
      <c r="M2" s="27">
        <v>50000</v>
      </c>
      <c r="N2" s="28">
        <v>75000</v>
      </c>
      <c r="O2" s="28">
        <v>135000</v>
      </c>
      <c r="P2" s="29">
        <v>40000</v>
      </c>
      <c r="Q2" s="281"/>
      <c r="R2" s="30" t="s">
        <v>14</v>
      </c>
      <c r="S2" s="30" t="s">
        <v>20</v>
      </c>
      <c r="T2" s="30" t="s">
        <v>15</v>
      </c>
    </row>
    <row r="3" spans="2:20" s="30" customFormat="1" ht="15" customHeight="1" thickBot="1" x14ac:dyDescent="0.3">
      <c r="B3" s="21" t="s">
        <v>15</v>
      </c>
      <c r="C3" s="22"/>
      <c r="D3" s="22">
        <f>SUM(E3:P3)</f>
        <v>173583</v>
      </c>
      <c r="E3" s="62">
        <f>IF(LoanTable[[#Totals],[Home Loan]]&gt;0,18000)</f>
        <v>18000</v>
      </c>
      <c r="F3" s="62">
        <f>IF(LoanTable[[#Totals],[Personal Loan]]&gt;0,46450)</f>
        <v>46450</v>
      </c>
      <c r="G3" s="62">
        <f>IF(LoanTable[[#Totals],[Car Loan]]&gt;0,36800)</f>
        <v>36800</v>
      </c>
      <c r="H3" s="62">
        <f>IF(LoanTable[[#Totals],[NBFC Loan (LIC)]]&gt;0,2250)</f>
        <v>2250</v>
      </c>
      <c r="I3" s="63">
        <f>IF(LoanTable[[#Totals],[EPF Loan]]&gt;0,23000)</f>
        <v>23000</v>
      </c>
      <c r="J3" s="63">
        <f>IF(LoanTable[[#Totals],[EPF Loan]]&gt;0,13333)</f>
        <v>13333</v>
      </c>
      <c r="K3" s="64">
        <f>IF(LoanTable[[#Totals],[Gadaget EMI]]&gt;0,9000)</f>
        <v>9000</v>
      </c>
      <c r="L3" s="65">
        <f>IF(LoanTable[[#Totals],[Credit Card EMI]]&gt;0,12750)</f>
        <v>12750</v>
      </c>
      <c r="M3" s="66">
        <f>IF(LoanTable[[#Totals],[Family loan]]&gt;0,5000)</f>
        <v>5000</v>
      </c>
      <c r="N3" s="67">
        <f>IF(LoanTable[[#Totals],[Credit Purchase]]&gt;0,5000)</f>
        <v>5000</v>
      </c>
      <c r="O3" s="67">
        <f>LoanTable[[#Totals],[Credit Card Due Till  Nov -25 ]]</f>
        <v>0</v>
      </c>
      <c r="P3" s="68">
        <f>IF(LoanTable[[#Totals],[Secret Partner]]&gt;0,2000)</f>
        <v>2000</v>
      </c>
    </row>
    <row r="4" spans="2:20" s="39" customFormat="1" ht="39" thickBot="1" x14ac:dyDescent="0.3">
      <c r="B4" s="31" t="s">
        <v>5</v>
      </c>
      <c r="C4" s="32" t="s">
        <v>6</v>
      </c>
      <c r="D4" s="32" t="s">
        <v>29</v>
      </c>
      <c r="E4" s="33" t="s">
        <v>7</v>
      </c>
      <c r="F4" s="33" t="s">
        <v>8</v>
      </c>
      <c r="G4" s="33" t="s">
        <v>332</v>
      </c>
      <c r="H4" s="33" t="s">
        <v>331</v>
      </c>
      <c r="I4" s="34" t="s">
        <v>13</v>
      </c>
      <c r="J4" s="34" t="s">
        <v>211</v>
      </c>
      <c r="K4" s="35" t="s">
        <v>9</v>
      </c>
      <c r="L4" s="36" t="s">
        <v>10</v>
      </c>
      <c r="M4" s="37" t="s">
        <v>11</v>
      </c>
      <c r="N4" s="38" t="s">
        <v>12</v>
      </c>
      <c r="O4" s="38" t="s">
        <v>153</v>
      </c>
      <c r="P4" s="276" t="s">
        <v>33</v>
      </c>
    </row>
    <row r="5" spans="2:20" x14ac:dyDescent="0.25">
      <c r="B5" s="40" t="str">
        <f>TEXT(LoanTable[[#This Row],[Month]],"yyyy")</f>
        <v>2025</v>
      </c>
      <c r="C5" s="41">
        <v>45962</v>
      </c>
      <c r="D5" s="42">
        <f>SUM(LoanTable[[#This Row],[Home Loan]:[Secret Partner]])</f>
        <v>244200</v>
      </c>
      <c r="E5" s="42">
        <v>18000</v>
      </c>
      <c r="F5" s="42">
        <v>46450</v>
      </c>
      <c r="G5" s="42">
        <v>0</v>
      </c>
      <c r="H5" s="42">
        <v>0</v>
      </c>
      <c r="I5" s="42">
        <v>23000</v>
      </c>
      <c r="J5" s="42">
        <v>0</v>
      </c>
      <c r="K5" s="42">
        <v>9000</v>
      </c>
      <c r="L5" s="42">
        <v>12750</v>
      </c>
      <c r="M5" s="42">
        <v>0</v>
      </c>
      <c r="N5" s="42">
        <v>0</v>
      </c>
      <c r="O5" s="42">
        <v>135000</v>
      </c>
      <c r="P5" s="277">
        <v>0</v>
      </c>
    </row>
    <row r="6" spans="2:20" ht="15.75" thickBot="1" x14ac:dyDescent="0.3">
      <c r="B6" s="43" t="str">
        <f>TEXT(LoanTable[[#This Row],[Month]],"yyyy")</f>
        <v>2025</v>
      </c>
      <c r="C6" s="156">
        <v>45992</v>
      </c>
      <c r="D6" s="44">
        <f>SUM(LoanTable[[#This Row],[Home Loan]:[Secret Partner]])</f>
        <v>124803</v>
      </c>
      <c r="E6" s="44">
        <v>18000</v>
      </c>
      <c r="F6" s="44">
        <v>46450</v>
      </c>
      <c r="G6" s="44">
        <v>0</v>
      </c>
      <c r="H6" s="44">
        <v>15603</v>
      </c>
      <c r="I6" s="44">
        <v>23000</v>
      </c>
      <c r="J6" s="44">
        <v>0</v>
      </c>
      <c r="K6" s="44">
        <v>9000</v>
      </c>
      <c r="L6" s="44">
        <v>12750</v>
      </c>
      <c r="M6" s="44">
        <v>0</v>
      </c>
      <c r="N6" s="44">
        <v>0</v>
      </c>
      <c r="O6" s="44">
        <v>0</v>
      </c>
      <c r="P6" s="278">
        <v>0</v>
      </c>
    </row>
    <row r="7" spans="2:20" ht="15.75" thickBot="1" x14ac:dyDescent="0.3">
      <c r="B7" s="43" t="str">
        <f>TEXT(LoanTable[[#This Row],[Month]],"yyyy")</f>
        <v>2026</v>
      </c>
      <c r="C7" s="156">
        <v>46023</v>
      </c>
      <c r="D7" s="44">
        <f>SUM(LoanTable[[#This Row],[Home Loan]:[Secret Partner]])</f>
        <v>158488</v>
      </c>
      <c r="E7" s="44">
        <v>18000</v>
      </c>
      <c r="F7" s="44">
        <v>46450</v>
      </c>
      <c r="G7" s="44">
        <v>0</v>
      </c>
      <c r="H7" s="44">
        <v>25640</v>
      </c>
      <c r="I7" s="44">
        <v>23000</v>
      </c>
      <c r="J7" s="44">
        <v>13648</v>
      </c>
      <c r="K7" s="44">
        <v>9000</v>
      </c>
      <c r="L7" s="44">
        <v>12750</v>
      </c>
      <c r="M7" s="44">
        <v>10000</v>
      </c>
      <c r="N7" s="44">
        <v>0</v>
      </c>
      <c r="O7" s="44">
        <v>0</v>
      </c>
      <c r="P7" s="278">
        <v>0</v>
      </c>
    </row>
    <row r="8" spans="2:20" ht="15.75" thickBot="1" x14ac:dyDescent="0.3">
      <c r="B8" s="43" t="str">
        <f>TEXT(LoanTable[[#This Row],[Month]],"yyyy")</f>
        <v>2026</v>
      </c>
      <c r="C8" s="156">
        <v>46054</v>
      </c>
      <c r="D8" s="44">
        <f>SUM(LoanTable[[#This Row],[Home Loan]:[Secret Partner]])</f>
        <v>154962</v>
      </c>
      <c r="E8" s="44">
        <v>18000</v>
      </c>
      <c r="F8" s="44">
        <v>46450</v>
      </c>
      <c r="G8" s="44">
        <v>36800</v>
      </c>
      <c r="H8" s="44">
        <v>0</v>
      </c>
      <c r="I8" s="44">
        <v>23000</v>
      </c>
      <c r="J8" s="44">
        <v>13648</v>
      </c>
      <c r="K8" s="44">
        <v>9000</v>
      </c>
      <c r="L8" s="44">
        <v>8064</v>
      </c>
      <c r="M8" s="44">
        <v>0</v>
      </c>
      <c r="N8" s="44">
        <v>0</v>
      </c>
      <c r="O8" s="44">
        <v>0</v>
      </c>
      <c r="P8" s="278">
        <v>0</v>
      </c>
    </row>
    <row r="9" spans="2:20" ht="15.75" thickBot="1" x14ac:dyDescent="0.3">
      <c r="B9" s="43" t="str">
        <f>TEXT(LoanTable[[#This Row],[Month]],"yyyy")</f>
        <v>2026</v>
      </c>
      <c r="C9" s="156">
        <v>46082</v>
      </c>
      <c r="D9" s="44">
        <f>SUM(LoanTable[[#This Row],[Home Loan]:[Secret Partner]])</f>
        <v>152098</v>
      </c>
      <c r="E9" s="44">
        <v>18000</v>
      </c>
      <c r="F9" s="44">
        <v>46450</v>
      </c>
      <c r="G9" s="44">
        <v>36800</v>
      </c>
      <c r="H9" s="44">
        <v>0</v>
      </c>
      <c r="I9" s="44">
        <v>23000</v>
      </c>
      <c r="J9" s="44">
        <v>13648</v>
      </c>
      <c r="K9" s="44">
        <v>9000</v>
      </c>
      <c r="L9" s="44">
        <v>5200</v>
      </c>
      <c r="M9" s="44">
        <v>0</v>
      </c>
      <c r="N9" s="44">
        <v>0</v>
      </c>
      <c r="O9" s="44">
        <v>0</v>
      </c>
      <c r="P9" s="278">
        <v>0</v>
      </c>
    </row>
    <row r="10" spans="2:20" ht="15.75" thickBot="1" x14ac:dyDescent="0.3">
      <c r="B10" s="43" t="str">
        <f>TEXT(LoanTable[[#This Row],[Month]],"yyyy")</f>
        <v>2026</v>
      </c>
      <c r="C10" s="156">
        <v>46113</v>
      </c>
      <c r="D10" s="44">
        <f>SUM(LoanTable[[#This Row],[Home Loan]:[Secret Partner]])</f>
        <v>0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278"/>
    </row>
    <row r="11" spans="2:20" ht="15.75" thickBot="1" x14ac:dyDescent="0.3">
      <c r="B11" s="43" t="str">
        <f>TEXT(LoanTable[[#This Row],[Month]],"yyyy")</f>
        <v>1900</v>
      </c>
      <c r="C11" s="156"/>
      <c r="D11" s="44">
        <f>SUM(LoanTable[[#This Row],[Home Loan]:[Secret Partner]])</f>
        <v>0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278"/>
    </row>
    <row r="12" spans="2:20" ht="15.75" thickBot="1" x14ac:dyDescent="0.3">
      <c r="B12" s="45" t="s">
        <v>30</v>
      </c>
      <c r="C12" s="46"/>
      <c r="D12" s="47">
        <f>SUBTOTAL(109,LoanTable[Total Loan])</f>
        <v>834551</v>
      </c>
      <c r="E12" s="48">
        <f>E2-SUM(LoanTable[Home Loan])</f>
        <v>4798992</v>
      </c>
      <c r="F12" s="48">
        <f>F2-SUM(LoanTable[Personal Loan])</f>
        <v>46450</v>
      </c>
      <c r="G12" s="48">
        <f>G2-SUM(LoanTable[Car Loan])</f>
        <v>1501200</v>
      </c>
      <c r="H12" s="48">
        <f>H2-SUM(LoanTable[NBFC Loan (LIC)])</f>
        <v>430252</v>
      </c>
      <c r="I12" s="49">
        <f>I2-SUM(LoanTable[EPF Loan])</f>
        <v>970000</v>
      </c>
      <c r="J12" s="49"/>
      <c r="K12" s="50">
        <f>K2-SUM(LoanTable[Gadaget EMI])</f>
        <v>44000</v>
      </c>
      <c r="L12" s="51">
        <f>L2-SUM(LoanTable[Credit Card EMI])</f>
        <v>4986</v>
      </c>
      <c r="M12" s="52">
        <f>M2-SUM(LoanTable[Family loan])</f>
        <v>40000</v>
      </c>
      <c r="N12" s="53">
        <f>N2-SUM(LoanTable[Credit Purchase])</f>
        <v>75000</v>
      </c>
      <c r="O12" s="53">
        <f>O2-SUM(LoanTable[Credit Card Due Till  Nov -25 ])</f>
        <v>0</v>
      </c>
      <c r="P12" s="279">
        <f>P2-SUM(LoanTable[Secret Partner])</f>
        <v>40000</v>
      </c>
    </row>
    <row r="13" spans="2:20" x14ac:dyDescent="0.25">
      <c r="B13" s="118" t="s">
        <v>169</v>
      </c>
      <c r="C13" s="119"/>
      <c r="D13" s="118">
        <f>IFERROR(AVERAGE(LoanTable[Total Loan]),0)</f>
        <v>119221.57142857143</v>
      </c>
      <c r="E13" s="120">
        <f>IFERROR(AVERAGE(LoanTable[Home Loan]),0)</f>
        <v>18000</v>
      </c>
      <c r="F13" s="120">
        <f>IFERROR(AVERAGE(LoanTable[Personal Loan]),0)</f>
        <v>46450</v>
      </c>
      <c r="G13" s="120">
        <f>IFERROR(AVERAGE(LoanTable[Car Loan]),0)</f>
        <v>14720</v>
      </c>
      <c r="H13" s="120">
        <f>IFERROR(AVERAGE(LoanTable[NBFC Loan (LIC)]),0)</f>
        <v>8248.6</v>
      </c>
      <c r="I13" s="121">
        <f>IFERROR(AVERAGE(LoanTable[EPF Loan]),0)</f>
        <v>23000</v>
      </c>
      <c r="J13" s="121"/>
      <c r="K13" s="122">
        <f>IFERROR(AVERAGE(LoanTable[Gadaget EMI]),0)</f>
        <v>9000</v>
      </c>
      <c r="L13" s="123">
        <f>IFERROR(AVERAGE(LoanTable[Credit Card EMI]),0)</f>
        <v>10302.799999999999</v>
      </c>
      <c r="M13" s="124">
        <f>IFERROR(AVERAGE(LoanTable[Family loan]),0)</f>
        <v>2000</v>
      </c>
      <c r="N13" s="125">
        <f>IFERROR(AVERAGE(LoanTable[Credit Purchase]),0)</f>
        <v>0</v>
      </c>
      <c r="O13" s="125">
        <f>IFERROR(AVERAGE(LoanTable[Credit Card Due Till  Nov -25 ]),0)</f>
        <v>27000</v>
      </c>
      <c r="P13" s="280">
        <f>IFERROR(AVERAGE(LoanTable[Secret Partner]),0)</f>
        <v>0</v>
      </c>
    </row>
    <row r="19" spans="8:17" ht="25.5" x14ac:dyDescent="0.25">
      <c r="H19" s="447" t="s">
        <v>345</v>
      </c>
      <c r="I19" s="447" t="s">
        <v>339</v>
      </c>
      <c r="J19" s="447" t="s">
        <v>340</v>
      </c>
      <c r="K19" s="447" t="s">
        <v>341</v>
      </c>
      <c r="L19" s="447" t="s">
        <v>342</v>
      </c>
      <c r="M19" s="447" t="s">
        <v>343</v>
      </c>
      <c r="N19" s="447" t="s">
        <v>344</v>
      </c>
      <c r="O19" s="447" t="s">
        <v>274</v>
      </c>
      <c r="P19" s="447" t="s">
        <v>275</v>
      </c>
      <c r="Q19" s="447" t="s">
        <v>338</v>
      </c>
    </row>
    <row r="20" spans="8:17" ht="25.5" x14ac:dyDescent="0.25">
      <c r="H20" s="448">
        <v>1</v>
      </c>
      <c r="I20" s="282">
        <f t="shared" ref="I20:I34" ca="1" si="0">L20-DATEDIF(DATE(2025,11,1), TODAY(), "m")</f>
        <v>13</v>
      </c>
      <c r="J20" s="295" t="s">
        <v>255</v>
      </c>
      <c r="K20" s="296">
        <v>27735</v>
      </c>
      <c r="L20" s="296">
        <f ca="1">13+DATEDIF(DATE(2025,11,1), TODAY(), "m")</f>
        <v>18</v>
      </c>
      <c r="M20" s="296">
        <f ca="1">K20*L20</f>
        <v>499230</v>
      </c>
      <c r="N20" s="292" t="s">
        <v>268</v>
      </c>
      <c r="O20" s="290">
        <f ca="1">I20*K20</f>
        <v>360555</v>
      </c>
      <c r="P20" s="290">
        <f ca="1">IF(I20&gt;0,K20)</f>
        <v>27735</v>
      </c>
      <c r="Q20" s="291"/>
    </row>
    <row r="21" spans="8:17" ht="25.5" x14ac:dyDescent="0.25">
      <c r="H21" s="448">
        <v>2</v>
      </c>
      <c r="I21" s="282">
        <f t="shared" ca="1" si="0"/>
        <v>8</v>
      </c>
      <c r="J21" s="287" t="s">
        <v>7</v>
      </c>
      <c r="K21" s="283">
        <v>18000</v>
      </c>
      <c r="L21" s="283">
        <v>13</v>
      </c>
      <c r="M21" s="283">
        <f>K21*L21</f>
        <v>234000</v>
      </c>
      <c r="N21" s="291" t="s">
        <v>269</v>
      </c>
      <c r="O21" s="282">
        <f t="shared" ref="O21:O36" ca="1" si="1">I21*K21</f>
        <v>144000</v>
      </c>
      <c r="P21" s="282">
        <f t="shared" ref="P21:P36" ca="1" si="2">IF(I21&gt;0,K21)</f>
        <v>18000</v>
      </c>
      <c r="Q21" s="291"/>
    </row>
    <row r="22" spans="8:17" ht="12.75" x14ac:dyDescent="0.25">
      <c r="H22" s="448">
        <v>3</v>
      </c>
      <c r="I22" s="282">
        <f t="shared" ca="1" si="0"/>
        <v>1</v>
      </c>
      <c r="J22" s="288" t="s">
        <v>8</v>
      </c>
      <c r="K22" s="282">
        <v>46450</v>
      </c>
      <c r="L22" s="282">
        <v>6</v>
      </c>
      <c r="M22" s="282">
        <f>K22*L22</f>
        <v>278700</v>
      </c>
      <c r="N22" s="291" t="s">
        <v>270</v>
      </c>
      <c r="O22" s="282">
        <f t="shared" ca="1" si="1"/>
        <v>46450</v>
      </c>
      <c r="P22" s="282">
        <f t="shared" ca="1" si="2"/>
        <v>46450</v>
      </c>
      <c r="Q22" s="291"/>
    </row>
    <row r="23" spans="8:17" ht="12.75" x14ac:dyDescent="0.25">
      <c r="H23" s="448">
        <v>4</v>
      </c>
      <c r="I23" s="282">
        <f t="shared" ca="1" si="0"/>
        <v>8</v>
      </c>
      <c r="J23" s="434" t="s">
        <v>331</v>
      </c>
      <c r="K23" s="435">
        <v>4250</v>
      </c>
      <c r="L23" s="435">
        <v>13</v>
      </c>
      <c r="M23" s="435">
        <f>K23*L23</f>
        <v>55250</v>
      </c>
      <c r="N23" s="436"/>
      <c r="O23" s="435">
        <f t="shared" ca="1" si="1"/>
        <v>34000</v>
      </c>
      <c r="P23" s="435">
        <f t="shared" ca="1" si="2"/>
        <v>4250</v>
      </c>
      <c r="Q23" s="291"/>
    </row>
    <row r="24" spans="8:17" ht="12.75" x14ac:dyDescent="0.25">
      <c r="H24" s="448">
        <v>5</v>
      </c>
      <c r="I24" s="282">
        <f t="shared" ca="1" si="0"/>
        <v>8</v>
      </c>
      <c r="J24" s="288" t="s">
        <v>13</v>
      </c>
      <c r="K24" s="282">
        <v>23000</v>
      </c>
      <c r="L24" s="282">
        <v>13</v>
      </c>
      <c r="M24" s="282">
        <f>K24*L24</f>
        <v>299000</v>
      </c>
      <c r="N24" s="291" t="s">
        <v>271</v>
      </c>
      <c r="O24" s="282">
        <f t="shared" ca="1" si="1"/>
        <v>184000</v>
      </c>
      <c r="P24" s="282">
        <f t="shared" ca="1" si="2"/>
        <v>23000</v>
      </c>
      <c r="Q24" s="291"/>
    </row>
    <row r="25" spans="8:17" ht="12.75" x14ac:dyDescent="0.25">
      <c r="H25" s="448">
        <v>6</v>
      </c>
      <c r="I25" s="282">
        <f t="shared" ca="1" si="0"/>
        <v>1</v>
      </c>
      <c r="J25" s="288" t="s">
        <v>16</v>
      </c>
      <c r="K25" s="282">
        <f>7000</f>
        <v>7000</v>
      </c>
      <c r="L25" s="282">
        <v>6</v>
      </c>
      <c r="M25" s="282">
        <f t="shared" ref="M25:M37" si="3">K25*L25</f>
        <v>42000</v>
      </c>
      <c r="N25" s="291" t="s">
        <v>272</v>
      </c>
      <c r="O25" s="282">
        <f t="shared" ca="1" si="1"/>
        <v>7000</v>
      </c>
      <c r="P25" s="282">
        <f t="shared" ca="1" si="2"/>
        <v>7000</v>
      </c>
      <c r="Q25" s="291"/>
    </row>
    <row r="26" spans="8:17" ht="12.75" x14ac:dyDescent="0.25">
      <c r="H26" s="448">
        <v>7</v>
      </c>
      <c r="I26" s="282">
        <f t="shared" ca="1" si="0"/>
        <v>8</v>
      </c>
      <c r="J26" s="288" t="s">
        <v>17</v>
      </c>
      <c r="K26" s="282">
        <v>2000</v>
      </c>
      <c r="L26" s="282">
        <v>13</v>
      </c>
      <c r="M26" s="282">
        <f t="shared" si="3"/>
        <v>26000</v>
      </c>
      <c r="N26" s="291" t="s">
        <v>273</v>
      </c>
      <c r="O26" s="282">
        <f t="shared" ca="1" si="1"/>
        <v>16000</v>
      </c>
      <c r="P26" s="282">
        <f t="shared" ca="1" si="2"/>
        <v>2000</v>
      </c>
      <c r="Q26" s="291"/>
    </row>
    <row r="27" spans="8:17" ht="12.75" x14ac:dyDescent="0.25">
      <c r="H27" s="448">
        <v>8</v>
      </c>
      <c r="I27" s="282">
        <f t="shared" ca="1" si="0"/>
        <v>0</v>
      </c>
      <c r="J27" s="437" t="s">
        <v>18</v>
      </c>
      <c r="K27" s="438">
        <v>5200</v>
      </c>
      <c r="L27" s="438">
        <v>5</v>
      </c>
      <c r="M27" s="438">
        <f t="shared" si="3"/>
        <v>26000</v>
      </c>
      <c r="N27" s="439" t="s">
        <v>267</v>
      </c>
      <c r="O27" s="438">
        <f t="shared" ca="1" si="1"/>
        <v>0</v>
      </c>
      <c r="P27" s="438" t="b">
        <f t="shared" ca="1" si="2"/>
        <v>0</v>
      </c>
      <c r="Q27" s="291"/>
    </row>
    <row r="28" spans="8:17" ht="12.75" x14ac:dyDescent="0.25">
      <c r="H28" s="448">
        <v>9</v>
      </c>
      <c r="I28" s="282">
        <f t="shared" ca="1" si="0"/>
        <v>-2</v>
      </c>
      <c r="J28" s="437" t="s">
        <v>19</v>
      </c>
      <c r="K28" s="438">
        <f>2125</f>
        <v>2125</v>
      </c>
      <c r="L28" s="438">
        <v>3</v>
      </c>
      <c r="M28" s="438">
        <f t="shared" si="3"/>
        <v>6375</v>
      </c>
      <c r="N28" s="439"/>
      <c r="O28" s="438">
        <f t="shared" ca="1" si="1"/>
        <v>-4250</v>
      </c>
      <c r="P28" s="438" t="b">
        <f t="shared" ca="1" si="2"/>
        <v>0</v>
      </c>
      <c r="Q28" s="291">
        <f ca="1">SUM(P27:P31)</f>
        <v>0</v>
      </c>
    </row>
    <row r="29" spans="8:17" ht="12.75" x14ac:dyDescent="0.25">
      <c r="H29" s="448">
        <v>10</v>
      </c>
      <c r="I29" s="282">
        <f t="shared" ca="1" si="0"/>
        <v>-1</v>
      </c>
      <c r="J29" s="437" t="s">
        <v>19</v>
      </c>
      <c r="K29" s="438">
        <f>2691.99+172.51</f>
        <v>2864.5</v>
      </c>
      <c r="L29" s="438">
        <v>4</v>
      </c>
      <c r="M29" s="438">
        <f t="shared" si="3"/>
        <v>11458</v>
      </c>
      <c r="N29" s="439"/>
      <c r="O29" s="438">
        <f t="shared" ca="1" si="1"/>
        <v>-2864.5</v>
      </c>
      <c r="P29" s="438" t="b">
        <f t="shared" ca="1" si="2"/>
        <v>0</v>
      </c>
      <c r="Q29" s="291"/>
    </row>
    <row r="30" spans="8:17" ht="12.75" x14ac:dyDescent="0.25">
      <c r="H30" s="448">
        <v>11</v>
      </c>
      <c r="I30" s="282">
        <f t="shared" ca="1" si="0"/>
        <v>-2</v>
      </c>
      <c r="J30" s="437" t="s">
        <v>19</v>
      </c>
      <c r="K30" s="438">
        <f>1804+31</f>
        <v>1835</v>
      </c>
      <c r="L30" s="438">
        <v>3</v>
      </c>
      <c r="M30" s="438">
        <f t="shared" si="3"/>
        <v>5505</v>
      </c>
      <c r="N30" s="439"/>
      <c r="O30" s="438">
        <f t="shared" ca="1" si="1"/>
        <v>-3670</v>
      </c>
      <c r="P30" s="438" t="b">
        <f t="shared" ca="1" si="2"/>
        <v>0</v>
      </c>
      <c r="Q30" s="291"/>
    </row>
    <row r="31" spans="8:17" ht="12.75" x14ac:dyDescent="0.25">
      <c r="H31" s="448">
        <v>12</v>
      </c>
      <c r="I31" s="282">
        <f t="shared" ca="1" si="0"/>
        <v>-2</v>
      </c>
      <c r="J31" s="437" t="s">
        <v>19</v>
      </c>
      <c r="K31" s="438">
        <f>679+7</f>
        <v>686</v>
      </c>
      <c r="L31" s="438">
        <v>3</v>
      </c>
      <c r="M31" s="438">
        <f t="shared" si="3"/>
        <v>2058</v>
      </c>
      <c r="N31" s="439"/>
      <c r="O31" s="438">
        <f t="shared" ca="1" si="1"/>
        <v>-1372</v>
      </c>
      <c r="P31" s="438" t="b">
        <f t="shared" ca="1" si="2"/>
        <v>0</v>
      </c>
      <c r="Q31" s="291"/>
    </row>
    <row r="32" spans="8:17" ht="12.75" x14ac:dyDescent="0.25">
      <c r="H32" s="448">
        <v>13</v>
      </c>
      <c r="I32" s="282">
        <f t="shared" ca="1" si="0"/>
        <v>10</v>
      </c>
      <c r="J32" s="289" t="s">
        <v>21</v>
      </c>
      <c r="K32" s="290">
        <v>5000</v>
      </c>
      <c r="L32" s="290">
        <f ca="1">10+DATEDIF(DATE(2025,11,1), TODAY(), "m")</f>
        <v>15</v>
      </c>
      <c r="M32" s="290">
        <f t="shared" ca="1" si="3"/>
        <v>75000</v>
      </c>
      <c r="N32" s="292"/>
      <c r="O32" s="290">
        <f t="shared" ca="1" si="1"/>
        <v>50000</v>
      </c>
      <c r="P32" s="290">
        <f t="shared" ca="1" si="2"/>
        <v>5000</v>
      </c>
      <c r="Q32" s="291"/>
    </row>
    <row r="33" spans="8:17" ht="12.75" x14ac:dyDescent="0.25">
      <c r="H33" s="448">
        <v>14</v>
      </c>
      <c r="I33" s="282">
        <f t="shared" ca="1" si="0"/>
        <v>5</v>
      </c>
      <c r="J33" s="289" t="s">
        <v>22</v>
      </c>
      <c r="K33" s="290">
        <v>15000</v>
      </c>
      <c r="L33" s="290">
        <f ca="1">5+DATEDIF(DATE(2025,11,1), TODAY(), "m")</f>
        <v>10</v>
      </c>
      <c r="M33" s="290">
        <f t="shared" ca="1" si="3"/>
        <v>150000</v>
      </c>
      <c r="N33" s="292"/>
      <c r="O33" s="290">
        <f t="shared" ca="1" si="1"/>
        <v>75000</v>
      </c>
      <c r="P33" s="290">
        <f t="shared" ca="1" si="2"/>
        <v>15000</v>
      </c>
      <c r="Q33" s="291"/>
    </row>
    <row r="34" spans="8:17" ht="12.75" x14ac:dyDescent="0.25">
      <c r="H34" s="448">
        <v>15</v>
      </c>
      <c r="I34" s="282">
        <f t="shared" ca="1" si="0"/>
        <v>12</v>
      </c>
      <c r="J34" s="289" t="s">
        <v>33</v>
      </c>
      <c r="K34" s="290">
        <v>5000</v>
      </c>
      <c r="L34" s="290">
        <f ca="1">12+DATEDIF(DATE(2025,11,1), TODAY(), "m")</f>
        <v>17</v>
      </c>
      <c r="M34" s="290">
        <f t="shared" ca="1" si="3"/>
        <v>85000</v>
      </c>
      <c r="N34" s="292"/>
      <c r="O34" s="290">
        <f t="shared" ca="1" si="1"/>
        <v>60000</v>
      </c>
      <c r="P34" s="290">
        <f t="shared" ca="1" si="2"/>
        <v>5000</v>
      </c>
      <c r="Q34" s="291"/>
    </row>
    <row r="35" spans="8:17" ht="12.75" x14ac:dyDescent="0.25">
      <c r="H35" s="448">
        <v>16</v>
      </c>
      <c r="I35" s="282">
        <f ca="1">L35-DATEDIF(DATE(2026,1,1), TODAY(), "m")</f>
        <v>0</v>
      </c>
      <c r="J35" s="291" t="s">
        <v>19</v>
      </c>
      <c r="K35" s="286">
        <f>5200/3</f>
        <v>1733.3333333333333</v>
      </c>
      <c r="L35" s="282">
        <v>3</v>
      </c>
      <c r="M35" s="282">
        <f t="shared" si="3"/>
        <v>5200</v>
      </c>
      <c r="N35" s="291" t="s">
        <v>266</v>
      </c>
      <c r="O35" s="286">
        <f t="shared" ca="1" si="1"/>
        <v>0</v>
      </c>
      <c r="P35" s="286" t="b">
        <f t="shared" ca="1" si="2"/>
        <v>0</v>
      </c>
      <c r="Q35" s="291" t="s">
        <v>334</v>
      </c>
    </row>
    <row r="36" spans="8:17" ht="12.75" x14ac:dyDescent="0.25">
      <c r="H36" s="448">
        <v>17</v>
      </c>
      <c r="I36" s="282">
        <f ca="1">L36-DATEDIF(DATE(2026,1,1), TODAY(), "m")</f>
        <v>3</v>
      </c>
      <c r="J36" s="291" t="s">
        <v>19</v>
      </c>
      <c r="K36" s="282">
        <v>2000</v>
      </c>
      <c r="L36" s="282">
        <v>6</v>
      </c>
      <c r="M36" s="282">
        <f t="shared" si="3"/>
        <v>12000</v>
      </c>
      <c r="N36" s="291" t="s">
        <v>267</v>
      </c>
      <c r="O36" s="282">
        <f t="shared" ca="1" si="1"/>
        <v>6000</v>
      </c>
      <c r="P36" s="282">
        <f t="shared" ca="1" si="2"/>
        <v>2000</v>
      </c>
      <c r="Q36" s="291" t="s">
        <v>335</v>
      </c>
    </row>
    <row r="37" spans="8:17" ht="12.75" x14ac:dyDescent="0.25">
      <c r="H37" s="448">
        <v>18</v>
      </c>
      <c r="I37" s="282">
        <f ca="1">L37-DATEDIF(DATE(2026,3,1), TODAY(), "m")</f>
        <v>2</v>
      </c>
      <c r="J37" s="291" t="s">
        <v>333</v>
      </c>
      <c r="K37" s="282">
        <v>4000</v>
      </c>
      <c r="L37" s="282">
        <v>3</v>
      </c>
      <c r="M37" s="282">
        <f t="shared" si="3"/>
        <v>12000</v>
      </c>
      <c r="N37" s="291" t="s">
        <v>267</v>
      </c>
      <c r="O37" s="282">
        <f t="shared" ref="O37:O38" ca="1" si="4">I37*K37</f>
        <v>8000</v>
      </c>
      <c r="P37" s="282">
        <f t="shared" ref="P37:P38" ca="1" si="5">IF(I37&gt;0,K37)</f>
        <v>4000</v>
      </c>
      <c r="Q37" s="291" t="s">
        <v>336</v>
      </c>
    </row>
    <row r="38" spans="8:17" ht="12.75" x14ac:dyDescent="0.25">
      <c r="H38" s="448">
        <v>19</v>
      </c>
      <c r="I38" s="282">
        <f ca="1">L38-DATEDIF(DATE(2026,2,1), TODAY(), "m")</f>
        <v>34</v>
      </c>
      <c r="J38" s="288" t="s">
        <v>332</v>
      </c>
      <c r="K38" s="282">
        <v>36800</v>
      </c>
      <c r="L38" s="282">
        <v>36</v>
      </c>
      <c r="M38" s="282">
        <f>K38*L38</f>
        <v>1324800</v>
      </c>
      <c r="N38" s="291" t="s">
        <v>273</v>
      </c>
      <c r="O38" s="282">
        <f t="shared" ca="1" si="4"/>
        <v>1251200</v>
      </c>
      <c r="P38" s="282">
        <f t="shared" ca="1" si="5"/>
        <v>36800</v>
      </c>
      <c r="Q38" s="291" t="s">
        <v>332</v>
      </c>
    </row>
    <row r="39" spans="8:17" ht="12.75" x14ac:dyDescent="0.25">
      <c r="H39" s="448">
        <v>20</v>
      </c>
      <c r="I39" s="282">
        <f ca="1">L39-DATEDIF(DATE(2026,3,1), TODAY(), "m")</f>
        <v>5</v>
      </c>
      <c r="J39" s="291" t="s">
        <v>19</v>
      </c>
      <c r="K39" s="286">
        <v>1900</v>
      </c>
      <c r="L39" s="282">
        <v>6</v>
      </c>
      <c r="M39" s="282">
        <f>K39*L39</f>
        <v>11400</v>
      </c>
      <c r="N39" s="291" t="s">
        <v>266</v>
      </c>
      <c r="O39" s="286">
        <f ca="1">I39*K39</f>
        <v>9500</v>
      </c>
      <c r="P39" s="286">
        <f ca="1">IF(I39&gt;0,K39)</f>
        <v>1900</v>
      </c>
      <c r="Q39" s="291" t="s">
        <v>337</v>
      </c>
    </row>
    <row r="40" spans="8:17" x14ac:dyDescent="0.25">
      <c r="H40" s="449"/>
      <c r="I40" s="282" t="s">
        <v>30</v>
      </c>
      <c r="J40" s="284"/>
      <c r="K40" s="282">
        <f t="shared" ref="K40:P40" si="6">SUM(K20:K36)</f>
        <v>169878.83333333334</v>
      </c>
      <c r="L40" s="282">
        <f t="shared" ca="1" si="6"/>
        <v>151</v>
      </c>
      <c r="M40" s="282">
        <f t="shared" ca="1" si="6"/>
        <v>1812776</v>
      </c>
      <c r="N40" s="282">
        <f t="shared" si="6"/>
        <v>0</v>
      </c>
      <c r="O40" s="294">
        <f t="shared" ca="1" si="6"/>
        <v>970848.5</v>
      </c>
      <c r="P40" s="293">
        <f t="shared" ca="1" si="6"/>
        <v>155435</v>
      </c>
    </row>
  </sheetData>
  <autoFilter ref="I19:Q40" xr:uid="{472AD93A-1488-4EA3-830F-71730D4DC004}"/>
  <mergeCells count="1">
    <mergeCell ref="B2:D2"/>
  </mergeCells>
  <conditionalFormatting sqref="I20:I40">
    <cfRule type="cellIs" dxfId="38" priority="1" operator="greaterThan">
      <formula>0</formula>
    </cfRule>
    <cfRule type="cellIs" dxfId="37" priority="2" operator="lessThan">
      <formula>1</formula>
    </cfRule>
  </conditionalFormatting>
  <pageMargins left="0.7" right="0.7" top="0.75" bottom="0.75" header="0.3" footer="0.3"/>
  <ignoredErrors>
    <ignoredError sqref="I5:I7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1C53-66A0-45C6-A209-360C0010B72B}">
  <sheetPr>
    <tabColor rgb="FF00B050"/>
  </sheetPr>
  <dimension ref="B1:Q14"/>
  <sheetViews>
    <sheetView workbookViewId="0">
      <selection activeCell="E21" sqref="E21"/>
    </sheetView>
  </sheetViews>
  <sheetFormatPr defaultColWidth="9.140625" defaultRowHeight="12.75" x14ac:dyDescent="0.25"/>
  <cols>
    <col min="1" max="1" width="9.140625" style="4"/>
    <col min="2" max="2" width="9.7109375" style="4" bestFit="1" customWidth="1"/>
    <col min="3" max="3" width="20.7109375" style="4" bestFit="1" customWidth="1"/>
    <col min="4" max="4" width="14.140625" style="4" bestFit="1" customWidth="1"/>
    <col min="5" max="5" width="16.85546875" style="4" bestFit="1" customWidth="1"/>
    <col min="6" max="6" width="9" style="4" bestFit="1" customWidth="1"/>
    <col min="7" max="7" width="8.28515625" style="4" bestFit="1" customWidth="1"/>
    <col min="8" max="8" width="11.42578125" style="4" bestFit="1" customWidth="1"/>
    <col min="9" max="9" width="9.85546875" style="4" bestFit="1" customWidth="1"/>
    <col min="10" max="10" width="9.140625" style="4" bestFit="1" customWidth="1"/>
    <col min="11" max="11" width="9.42578125" style="4" bestFit="1" customWidth="1"/>
    <col min="12" max="12" width="23.7109375" style="4" bestFit="1" customWidth="1"/>
    <col min="13" max="13" width="10.42578125" style="4" bestFit="1" customWidth="1"/>
    <col min="14" max="15" width="9" style="4" bestFit="1" customWidth="1"/>
    <col min="16" max="16384" width="9.140625" style="4"/>
  </cols>
  <sheetData>
    <row r="1" spans="2:17" ht="13.5" thickBot="1" x14ac:dyDescent="0.3">
      <c r="B1" s="3"/>
      <c r="C1" s="3"/>
      <c r="D1" s="3"/>
      <c r="E1" s="3"/>
      <c r="F1" s="3"/>
      <c r="G1" s="3"/>
      <c r="H1" s="3"/>
      <c r="I1" s="3"/>
      <c r="K1" s="3"/>
      <c r="L1" s="3"/>
      <c r="M1" s="3"/>
      <c r="N1" s="3"/>
      <c r="O1" s="3"/>
      <c r="P1" s="3"/>
      <c r="Q1" s="3"/>
    </row>
    <row r="2" spans="2:17" ht="13.5" thickBot="1" x14ac:dyDescent="0.3">
      <c r="C2" s="5" t="s">
        <v>142</v>
      </c>
      <c r="D2" s="211" t="str">
        <f>"Equity Limit :  "</f>
        <v xml:space="preserve">Equity Limit :  </v>
      </c>
      <c r="E2" s="212">
        <f xml:space="preserve"> _xlfn.FLOOR.MATH(InvestmentQuota*65%)</f>
        <v>44513</v>
      </c>
      <c r="F2" s="463" t="str">
        <f>"Gold Limit : "</f>
        <v xml:space="preserve">Gold Limit : </v>
      </c>
      <c r="G2" s="464"/>
      <c r="H2" s="464"/>
      <c r="I2" s="213">
        <f>_xlfn.FLOOR.MATH((InvestmentQuota*15%))</f>
        <v>10272</v>
      </c>
      <c r="J2" s="461" t="str">
        <f>"Fixed Return Limit : "</f>
        <v xml:space="preserve">Fixed Return Limit : </v>
      </c>
      <c r="K2" s="462"/>
      <c r="L2" s="214">
        <f xml:space="preserve"> _xlfn.FLOOR.MATH(InvestmentQuota*20%)</f>
        <v>13696</v>
      </c>
      <c r="M2" s="215" t="s">
        <v>39</v>
      </c>
      <c r="N2" s="216">
        <v>0</v>
      </c>
    </row>
    <row r="3" spans="2:17" ht="13.5" thickBot="1" x14ac:dyDescent="0.3">
      <c r="C3" s="6">
        <f>AVERAGE(IncomeTable[Total In Hand])*30%</f>
        <v>68481.95</v>
      </c>
      <c r="D3" s="217">
        <f>E2*15%</f>
        <v>6676.95</v>
      </c>
      <c r="E3" s="218">
        <f>E2*85%</f>
        <v>37836.049999999996</v>
      </c>
      <c r="F3" s="217">
        <f>I2*40%</f>
        <v>4108.8</v>
      </c>
      <c r="G3" s="219">
        <f>I2*40%</f>
        <v>4108.8</v>
      </c>
      <c r="H3" s="219">
        <f>I2*20%</f>
        <v>2054.4</v>
      </c>
      <c r="I3" s="218">
        <f>I2*0%</f>
        <v>0</v>
      </c>
      <c r="J3" s="217">
        <f>_xlfn.FLOOR.MATH(BasicSalary*24%)</f>
        <v>26604</v>
      </c>
      <c r="K3" s="219">
        <f>_xlfn.FLOOR.MATH(BasicSalary*14%)</f>
        <v>15519</v>
      </c>
      <c r="L3" s="218">
        <v>12500</v>
      </c>
      <c r="M3" s="217"/>
      <c r="N3" s="218"/>
    </row>
    <row r="4" spans="2:17" x14ac:dyDescent="0.25">
      <c r="C4" s="325">
        <f ca="1">3861068+(TotalMonth*InvestmentQuota)</f>
        <v>4271959.7</v>
      </c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</row>
    <row r="5" spans="2:17" x14ac:dyDescent="0.25"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2:17" x14ac:dyDescent="0.25">
      <c r="B6" s="3" t="s">
        <v>144</v>
      </c>
      <c r="C6" s="3" t="s">
        <v>31</v>
      </c>
      <c r="D6" s="410" t="s">
        <v>42</v>
      </c>
      <c r="E6" s="410" t="s">
        <v>138</v>
      </c>
      <c r="F6" s="411" t="s">
        <v>243</v>
      </c>
      <c r="G6" s="411" t="s">
        <v>242</v>
      </c>
      <c r="H6" s="411" t="s">
        <v>140</v>
      </c>
      <c r="I6" s="411" t="s">
        <v>35</v>
      </c>
      <c r="J6" s="7" t="s">
        <v>37</v>
      </c>
      <c r="K6" s="7" t="s">
        <v>38</v>
      </c>
      <c r="L6" s="7" t="s">
        <v>143</v>
      </c>
      <c r="M6" s="8" t="s">
        <v>40</v>
      </c>
      <c r="N6" s="8" t="s">
        <v>41</v>
      </c>
    </row>
    <row r="7" spans="2:17" x14ac:dyDescent="0.25">
      <c r="B7" s="9">
        <v>45962</v>
      </c>
      <c r="C7" s="3">
        <f>SUM(InvestmentTable[[#This Row],[Stocks]:[Flat]])</f>
        <v>71670</v>
      </c>
      <c r="D7" s="3">
        <f>_xlfn.CEILING.MATH(SUMIFS(InvestTransactionTable[Invested Value],InvestTransactionTable[Type],"Stocks",InvestTransactionTable[Month],InvestmentTable[[#This Row],[Entry Month]]))</f>
        <v>0</v>
      </c>
      <c r="E7" s="3">
        <f>_xlfn.CEILING.MATH(SUMIFS(InvestTransactionTable[Invested Value],InvestTransactionTable[Type],"Mutual Fund",InvestTransactionTable[Month],InvestmentTable[[#This Row],[Entry Month]]))</f>
        <v>17055</v>
      </c>
      <c r="F7" s="3">
        <f>_xlfn.CEILING.MATH(SUMIFS(InvestTransactionTable[Invested Value],InvestTransactionTable[Type],"Gold MF",InvestTransactionTable[Month],InvestmentTable[[#This Row],[Entry Month]]))</f>
        <v>0</v>
      </c>
      <c r="G7" s="3">
        <f>_xlfn.CEILING.MATH(SUMIFS(InvestTransactionTable[Invested Value],InvestTransactionTable[Type],"Gold ETF",InvestTransactionTable[Month],InvestmentTable[[#This Row],[Entry Month]]))</f>
        <v>0</v>
      </c>
      <c r="H7" s="3">
        <f>_xlfn.CEILING.MATH(SUMIFS(InvestTransactionTable[Invested Value],InvestTransactionTable[Type],"Gold",InvestTransactionTable[Month],InvestmentTable[[#This Row],[Entry Month]]))</f>
        <v>0</v>
      </c>
      <c r="I7" s="3">
        <f>_xlfn.CEILING.MATH(SUMIFS(InvestTransactionTable[Invested Value],InvestTransactionTable[Type],"Gold",InvestTransactionTable[Month],InvestmentTable[[#This Row],[Entry Month]]))</f>
        <v>0</v>
      </c>
      <c r="J7" s="3">
        <v>26600</v>
      </c>
      <c r="K7" s="3">
        <v>15515</v>
      </c>
      <c r="L7" s="3">
        <v>12500</v>
      </c>
      <c r="M7" s="3">
        <v>0</v>
      </c>
      <c r="N7" s="3">
        <v>0</v>
      </c>
    </row>
    <row r="8" spans="2:17" s="13" customFormat="1" x14ac:dyDescent="0.25">
      <c r="B8" s="9">
        <v>45992</v>
      </c>
      <c r="C8" s="3">
        <f>SUM(InvestmentTable[[#This Row],[Stocks]:[Flat]])</f>
        <v>86773</v>
      </c>
      <c r="D8" s="3">
        <f>12990+10000</f>
        <v>22990</v>
      </c>
      <c r="E8" s="3">
        <f>_xlfn.CEILING.MATH(SUMIFS(InvestTransactionTable[Invested Value],InvestTransactionTable[Type],"Mutual Fund",InvestTransactionTable[Month],InvestmentTable[[#This Row],[Entry Month]]))</f>
        <v>7402</v>
      </c>
      <c r="F8" s="3">
        <f>_xlfn.CEILING.MATH(SUMIFS(InvestTransactionTable[Invested Value],InvestTransactionTable[Type],"Gold MF",InvestTransactionTable[Month],InvestmentTable[[#This Row],[Entry Month]]))</f>
        <v>1766</v>
      </c>
      <c r="G8" s="3">
        <f>_xlfn.CEILING.MATH(SUMIFS(InvestTransactionTable[Invested Value],InvestTransactionTable[Type],"Gold ETF",InvestTransactionTable[Month],InvestmentTable[[#This Row],[Entry Month]]))</f>
        <v>0</v>
      </c>
      <c r="H8" s="3">
        <f>_xlfn.CEILING.MATH(SUMIFS(InvestTransactionTable[Invested Value],InvestTransactionTable[Type],"Gold",InvestTransactionTable[Month],InvestmentTable[[#This Row],[Entry Month]]))</f>
        <v>0</v>
      </c>
      <c r="I8" s="3">
        <f>_xlfn.CEILING.MATH(SUMIFS(InvestTransactionTable[Invested Value],InvestTransactionTable[Type],"Gold",InvestTransactionTable[Month],InvestmentTable[[#This Row],[Entry Month]]))</f>
        <v>0</v>
      </c>
      <c r="J8" s="3">
        <v>26600</v>
      </c>
      <c r="K8" s="3">
        <v>15515</v>
      </c>
      <c r="L8" s="3">
        <v>12500</v>
      </c>
      <c r="M8" s="3">
        <v>0</v>
      </c>
      <c r="N8" s="3">
        <v>0</v>
      </c>
    </row>
    <row r="9" spans="2:17" s="13" customFormat="1" x14ac:dyDescent="0.25">
      <c r="B9" s="9">
        <v>46023</v>
      </c>
      <c r="C9" s="3">
        <f>SUM(InvestmentTable[[#This Row],[Stocks]:[Flat]])</f>
        <v>-26320</v>
      </c>
      <c r="D9" s="3">
        <f>575+5000+5000-200000</f>
        <v>-189425</v>
      </c>
      <c r="E9" s="3">
        <f>_xlfn.CEILING.MATH(SUMIFS(InvestTransactionTable[Invested Value],InvestTransactionTable[Type],"Mutual Fund",InvestTransactionTable[Month],InvestmentTable[[#This Row],[Entry Month]]))</f>
        <v>83993</v>
      </c>
      <c r="F9" s="3">
        <f>_xlfn.CEILING.MATH(SUMIFS(InvestTransactionTable[Invested Value],InvestTransactionTable[Type],"Gold MF",InvestTransactionTable[Month],InvestmentTable[[#This Row],[Entry Month]]))</f>
        <v>6000</v>
      </c>
      <c r="G9" s="3">
        <f>_xlfn.CEILING.MATH(SUMIFS(InvestTransactionTable[Invested Value],InvestTransactionTable[Type],"Gold ETF",InvestTransactionTable[Month],InvestmentTable[[#This Row],[Entry Month]]))</f>
        <v>19097</v>
      </c>
      <c r="H9" s="3">
        <f>_xlfn.CEILING.MATH(SUMIFS(InvestTransactionTable[Invested Value],InvestTransactionTable[Type],"Gold",InvestTransactionTable[Month],InvestmentTable[[#This Row],[Entry Month]]))</f>
        <v>0</v>
      </c>
      <c r="I9" s="3">
        <f>_xlfn.CEILING.MATH(SUMIFS(InvestTransactionTable[Invested Value],InvestTransactionTable[Type],"Gold",InvestTransactionTable[Month],InvestmentTable[[#This Row],[Entry Month]]))</f>
        <v>0</v>
      </c>
      <c r="J9" s="3">
        <v>26000</v>
      </c>
      <c r="K9" s="3">
        <v>15515</v>
      </c>
      <c r="L9" s="3">
        <v>12500</v>
      </c>
      <c r="M9" s="3">
        <v>0</v>
      </c>
      <c r="N9" s="3">
        <v>0</v>
      </c>
    </row>
    <row r="10" spans="2:17" s="13" customFormat="1" x14ac:dyDescent="0.25">
      <c r="B10" s="9">
        <v>46054</v>
      </c>
      <c r="C10" s="3">
        <f>SUM(InvestmentTable[[#This Row],[Stocks]:[Flat]])</f>
        <v>105136</v>
      </c>
      <c r="D10" s="3">
        <v>0</v>
      </c>
      <c r="E10" s="3">
        <f>_xlfn.CEILING.MATH(SUMIFS(InvestTransactionTable[Invested Value],InvestTransactionTable[Type],"Mutual Fund",InvestTransactionTable[Month],InvestmentTable[[#This Row],[Entry Month]]))</f>
        <v>35002</v>
      </c>
      <c r="F10" s="3">
        <f>_xlfn.CEILING.MATH(SUMIFS(InvestTransactionTable[Invested Value],InvestTransactionTable[Type],"Gold MF",InvestTransactionTable[Month],InvestmentTable[[#This Row],[Entry Month]]))</f>
        <v>4000</v>
      </c>
      <c r="G10" s="3">
        <f>_xlfn.CEILING.MATH(SUMIFS(InvestTransactionTable[Invested Value],InvestTransactionTable[Type],"Gold ETF",InvestTransactionTable[Month],InvestmentTable[[#This Row],[Entry Month]]))</f>
        <v>12119</v>
      </c>
      <c r="H10" s="3">
        <f>_xlfn.CEILING.MATH(SUMIFS(InvestTransactionTable[Invested Value],InvestTransactionTable[Type],"Gold",InvestTransactionTable[Month],InvestmentTable[[#This Row],[Entry Month]]))</f>
        <v>0</v>
      </c>
      <c r="I10" s="3">
        <f>_xlfn.CEILING.MATH(SUMIFS(InvestTransactionTable[Invested Value],InvestTransactionTable[Type],"Gold",InvestTransactionTable[Month],InvestmentTable[[#This Row],[Entry Month]]))</f>
        <v>0</v>
      </c>
      <c r="J10" s="3">
        <v>26000</v>
      </c>
      <c r="K10" s="3">
        <v>15515</v>
      </c>
      <c r="L10" s="3">
        <v>12500</v>
      </c>
      <c r="M10" s="3">
        <v>0</v>
      </c>
      <c r="N10" s="3">
        <v>0</v>
      </c>
    </row>
    <row r="11" spans="2:17" s="13" customFormat="1" x14ac:dyDescent="0.25">
      <c r="B11" s="9">
        <v>46082</v>
      </c>
      <c r="C11" s="3">
        <f>SUM(InvestmentTable[[#This Row],[Stocks]:[Flat]])</f>
        <v>129873</v>
      </c>
      <c r="D11" s="3">
        <f>50000+10000+3000</f>
        <v>63000</v>
      </c>
      <c r="E11" s="3">
        <f>_xlfn.CEILING.MATH(SUMIFS(InvestTransactionTable[Invested Value],InvestTransactionTable[Type],"Mutual Fund",InvestTransactionTable[Month],InvestmentTable[[#This Row],[Entry Month]]))</f>
        <v>2976</v>
      </c>
      <c r="F11" s="3">
        <f>_xlfn.CEILING.MATH(SUMIFS(InvestTransactionTable[Invested Value],InvestTransactionTable[Type],"Gold MF",InvestTransactionTable[Month],InvestmentTable[[#This Row],[Entry Month]]))</f>
        <v>4000</v>
      </c>
      <c r="G11" s="3">
        <f>_xlfn.CEILING.MATH(SUMIFS(InvestTransactionTable[Invested Value],InvestTransactionTable[Type],"Gold ETF",InvestTransactionTable[Month],InvestmentTable[[#This Row],[Entry Month]]))</f>
        <v>5882</v>
      </c>
      <c r="H11" s="3">
        <f>_xlfn.CEILING.MATH(SUMIFS(InvestTransactionTable[Invested Value],InvestTransactionTable[Type],"Gold",InvestTransactionTable[Month],InvestmentTable[[#This Row],[Entry Month]]))</f>
        <v>0</v>
      </c>
      <c r="I11" s="3">
        <f>_xlfn.CEILING.MATH(SUMIFS(InvestTransactionTable[Invested Value],InvestTransactionTable[Type],"Gold",InvestTransactionTable[Month],InvestmentTable[[#This Row],[Entry Month]]))</f>
        <v>0</v>
      </c>
      <c r="J11" s="3">
        <v>26000</v>
      </c>
      <c r="K11" s="3">
        <v>15515</v>
      </c>
      <c r="L11" s="3">
        <v>12500</v>
      </c>
      <c r="M11" s="3">
        <v>0</v>
      </c>
      <c r="N11" s="3">
        <v>0</v>
      </c>
    </row>
    <row r="12" spans="2:17" s="13" customFormat="1" x14ac:dyDescent="0.25">
      <c r="B12" s="9">
        <v>46113</v>
      </c>
      <c r="C12" s="3">
        <f>SUM(InvestmentTable[[#This Row],[Stocks]:[Flat]])</f>
        <v>0</v>
      </c>
      <c r="D12" s="3"/>
      <c r="E12" s="3">
        <f>_xlfn.CEILING.MATH(SUMIFS(InvestTransactionTable[Invested Value],InvestTransactionTable[Type],"Mutual Fund",InvestTransactionTable[Month],InvestmentTable[[#This Row],[Entry Month]]))</f>
        <v>0</v>
      </c>
      <c r="F12" s="3">
        <f>_xlfn.CEILING.MATH(SUMIFS(InvestTransactionTable[Invested Value],InvestTransactionTable[Type],"Gold MF",InvestTransactionTable[Month],InvestmentTable[[#This Row],[Entry Month]]))</f>
        <v>0</v>
      </c>
      <c r="G12" s="3">
        <f>_xlfn.CEILING.MATH(SUMIFS(InvestTransactionTable[Invested Value],InvestTransactionTable[Type],"Gold ETF",InvestTransactionTable[Month],InvestmentTable[[#This Row],[Entry Month]]))</f>
        <v>0</v>
      </c>
      <c r="H12" s="3">
        <f>_xlfn.CEILING.MATH(SUMIFS(InvestTransactionTable[Invested Value],InvestTransactionTable[Type],"Gold",InvestTransactionTable[Month],InvestmentTable[[#This Row],[Entry Month]]))</f>
        <v>0</v>
      </c>
      <c r="I12" s="3">
        <f>_xlfn.CEILING.MATH(SUMIFS(InvestTransactionTable[Invested Value],InvestTransactionTable[Type],"Gold",InvestTransactionTable[Month],InvestmentTable[[#This Row],[Entry Month]]))</f>
        <v>0</v>
      </c>
      <c r="J12" s="3"/>
      <c r="K12" s="3"/>
      <c r="L12" s="3"/>
      <c r="M12" s="3"/>
      <c r="N12" s="3"/>
    </row>
    <row r="13" spans="2:17" ht="13.5" thickBot="1" x14ac:dyDescent="0.3">
      <c r="B13" s="10" t="s">
        <v>30</v>
      </c>
      <c r="C13" s="10">
        <f>SUBTOTAL(109,InvestmentTable[Total Investment])</f>
        <v>367132</v>
      </c>
      <c r="D13" s="410">
        <f>SUBTOTAL(109,InvestmentTable[Stocks])</f>
        <v>-103435</v>
      </c>
      <c r="E13" s="410">
        <f>SUBTOTAL(109,InvestmentTable[Mutual Fund])</f>
        <v>146428</v>
      </c>
      <c r="F13" s="411">
        <f>SUBTOTAL(109,InvestmentTable[Gold MF])</f>
        <v>15766</v>
      </c>
      <c r="G13" s="411">
        <f>SUBTOTAL(109,InvestmentTable[Gold ETF])</f>
        <v>37098</v>
      </c>
      <c r="H13" s="411">
        <f>SUBTOTAL(109,InvestmentTable[Gold])</f>
        <v>0</v>
      </c>
      <c r="I13" s="411">
        <f>SUBTOTAL(109,InvestmentTable[SGB])</f>
        <v>0</v>
      </c>
      <c r="J13" s="11">
        <f>SUBTOTAL(109,InvestmentTable[EPF])</f>
        <v>131200</v>
      </c>
      <c r="K13" s="11">
        <f>SUBTOTAL(109,InvestmentTable[NPS])</f>
        <v>77575</v>
      </c>
      <c r="L13" s="11">
        <f>SUBTOTAL(109,InvestmentTable[Sukanya Samriddhi])</f>
        <v>62500</v>
      </c>
      <c r="M13" s="12">
        <f>SUBTOTAL(109,InvestmentTable[Land])</f>
        <v>0</v>
      </c>
      <c r="N13" s="12">
        <f>SUBTOTAL(109,InvestmentTable[Flat])</f>
        <v>0</v>
      </c>
    </row>
    <row r="14" spans="2:17" ht="13.5" thickTop="1" x14ac:dyDescent="0.25">
      <c r="B14" s="113" t="s">
        <v>169</v>
      </c>
      <c r="C14" s="114">
        <f>IFERROR(AVERAGE(InvestmentTable[Total Investment]),0)</f>
        <v>61188.666666666664</v>
      </c>
      <c r="D14" s="412">
        <f>IFERROR(_xlfn.CEILING.MATH(AVERAGE(InvestmentTable[Stocks])),0)</f>
        <v>-20687</v>
      </c>
      <c r="E14" s="412">
        <f>IFERROR(_xlfn.CEILING.MATH(AVERAGE(InvestmentTable[Mutual Fund])),0)</f>
        <v>24405</v>
      </c>
      <c r="F14" s="413">
        <f>IFERROR(_xlfn.CEILING.MATH(AVERAGE(InvestmentTable[Gold MF])),0)</f>
        <v>2628</v>
      </c>
      <c r="G14" s="413">
        <f>IFERROR(_xlfn.CEILING.MATH(AVERAGE(InvestmentTable[Gold ETF])),0)</f>
        <v>6183</v>
      </c>
      <c r="H14" s="413">
        <f>IFERROR(_xlfn.CEILING.MATH(AVERAGE(InvestmentTable[Gold])),0)</f>
        <v>0</v>
      </c>
      <c r="I14" s="413">
        <f>IFERROR(_xlfn.CEILING.MATH(AVERAGE(InvestmentTable[SGB])),0)</f>
        <v>0</v>
      </c>
      <c r="J14" s="115">
        <f>IFERROR(_xlfn.CEILING.MATH(AVERAGE(InvestmentTable[EPF])),0)</f>
        <v>26240</v>
      </c>
      <c r="K14" s="115">
        <f>IFERROR(_xlfn.CEILING.MATH(AVERAGE(InvestmentTable[NPS])),0)</f>
        <v>15515</v>
      </c>
      <c r="L14" s="115">
        <f>IFERROR(_xlfn.CEILING.MATH(AVERAGE(InvestmentTable[Sukanya Samriddhi])),0)</f>
        <v>12500</v>
      </c>
      <c r="M14" s="116">
        <f>IFERROR(_xlfn.CEILING.MATH(AVERAGE(InvestmentTable[Land])),0)</f>
        <v>0</v>
      </c>
      <c r="N14" s="117">
        <f>IFERROR(_xlfn.CEILING.MATH(AVERAGE(InvestmentTable[Flat])),0)</f>
        <v>0</v>
      </c>
    </row>
  </sheetData>
  <mergeCells count="2">
    <mergeCell ref="J2:K2"/>
    <mergeCell ref="F2:H2"/>
  </mergeCells>
  <pageMargins left="0.7" right="0.7" top="0.75" bottom="0.75" header="0.3" footer="0.3"/>
  <ignoredErrors>
    <ignoredError sqref="D8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48FB-37B7-4D68-B1BA-D98277B9FC32}">
  <sheetPr>
    <tabColor rgb="FF00B0F0"/>
  </sheetPr>
  <dimension ref="B1:O36"/>
  <sheetViews>
    <sheetView zoomScaleNormal="100" workbookViewId="0">
      <selection activeCell="M6" sqref="M6"/>
    </sheetView>
  </sheetViews>
  <sheetFormatPr defaultColWidth="9.140625" defaultRowHeight="12" x14ac:dyDescent="0.2"/>
  <cols>
    <col min="1" max="1" width="3.7109375" style="87" customWidth="1"/>
    <col min="2" max="2" width="16.28515625" style="87" bestFit="1" customWidth="1"/>
    <col min="3" max="3" width="13.5703125" style="87" bestFit="1" customWidth="1"/>
    <col min="4" max="4" width="12.28515625" style="87" customWidth="1"/>
    <col min="5" max="5" width="15.5703125" style="87" bestFit="1" customWidth="1"/>
    <col min="6" max="6" width="13.85546875" style="87" customWidth="1"/>
    <col min="7" max="7" width="11.28515625" style="87" customWidth="1"/>
    <col min="8" max="8" width="9.28515625" style="87" customWidth="1"/>
    <col min="9" max="9" width="11.5703125" style="87" customWidth="1"/>
    <col min="10" max="10" width="7.140625" style="88" customWidth="1"/>
    <col min="11" max="11" width="14.140625" style="88" bestFit="1" customWidth="1"/>
    <col min="12" max="12" width="16.5703125" style="87" bestFit="1" customWidth="1"/>
    <col min="13" max="13" width="14.7109375" style="87" bestFit="1" customWidth="1"/>
    <col min="14" max="14" width="10.85546875" style="87" bestFit="1" customWidth="1"/>
    <col min="15" max="16384" width="9.140625" style="87"/>
  </cols>
  <sheetData>
    <row r="1" spans="2:15" ht="15" customHeight="1" x14ac:dyDescent="0.2">
      <c r="B1" s="465" t="s">
        <v>152</v>
      </c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</row>
    <row r="2" spans="2:15" ht="12.75" thickBot="1" x14ac:dyDescent="0.25"/>
    <row r="3" spans="2:15" s="89" customFormat="1" ht="47.25" customHeight="1" x14ac:dyDescent="0.2">
      <c r="B3" s="257" t="s">
        <v>46</v>
      </c>
      <c r="C3" s="258" t="s">
        <v>43</v>
      </c>
      <c r="D3" s="257" t="s">
        <v>146</v>
      </c>
      <c r="E3" s="259" t="s">
        <v>147</v>
      </c>
      <c r="F3" s="260" t="s">
        <v>265</v>
      </c>
      <c r="G3" s="259" t="s">
        <v>150</v>
      </c>
      <c r="H3" s="258" t="s">
        <v>151</v>
      </c>
      <c r="I3" s="257" t="s">
        <v>148</v>
      </c>
      <c r="J3" s="261" t="s">
        <v>47</v>
      </c>
      <c r="K3" s="261" t="s">
        <v>44</v>
      </c>
      <c r="L3" s="259" t="s">
        <v>217</v>
      </c>
      <c r="M3" s="259" t="s">
        <v>48</v>
      </c>
      <c r="N3" s="258" t="s">
        <v>244</v>
      </c>
      <c r="O3" s="405" t="s">
        <v>321</v>
      </c>
    </row>
    <row r="4" spans="2:15" x14ac:dyDescent="0.2">
      <c r="B4" s="90" t="s">
        <v>42</v>
      </c>
      <c r="C4" s="91" t="s">
        <v>34</v>
      </c>
      <c r="D4" s="92">
        <v>2186094</v>
      </c>
      <c r="E4" s="93">
        <v>3800000</v>
      </c>
      <c r="F4" s="93">
        <f>CorpusTable[[#This Row],[Actual Till Oct-25]]-CorpusTable[[#This Row],[Invested Till Oct 25]]</f>
        <v>1613906</v>
      </c>
      <c r="G4" s="94">
        <f>CorpusTable[[#This Row],[Invested Till Oct 25]]/CorpusTable[[#Totals],[Invested Till Oct 25]]</f>
        <v>0.29850016262507179</v>
      </c>
      <c r="H4" s="234">
        <f>IFERROR((CorpusTable[[#This Row],[Actual Till Oct-25]]-CorpusTable[[#This Row],[Invested Till Oct 25]])/CorpusTable[[#This Row],[Invested Till Oct 25]],0)</f>
        <v>0.73826011141332437</v>
      </c>
      <c r="I4" s="414">
        <f>InvestmentTable[[#Totals],[Stocks]]</f>
        <v>-103435</v>
      </c>
      <c r="J4" s="415">
        <f>CorpusTable[[#This Row],[Invested Since Nov-25]]/CorpusTable[[#Totals],[Invested Since Nov-25]]</f>
        <v>-0.28173790353333406</v>
      </c>
      <c r="K4" s="416">
        <f>CorpusTable[[#This Row],[Invested Till Oct 25]]+CorpusTable[[#This Row],[Invested Since Nov-25]]</f>
        <v>2082659</v>
      </c>
      <c r="L4" s="417">
        <f>SUMIFS(AllocationTable[CURRENT VALUE],AllocationTable[TYPE],CorpusTable[[#This Row],[Asset]])+CorpusTable[[#This Row],[Wallet]]</f>
        <v>3690869.96</v>
      </c>
      <c r="M4" s="417">
        <f>CorpusTable[[#This Row],[Current Value]]-CorpusTable[[#This Row],[Invested]]</f>
        <v>1608210.96</v>
      </c>
      <c r="N4" s="418">
        <f>IFERROR(CorpusTable[[#This Row],[Return]]/CorpusTable[[#This Row],[Invested]],"-")</f>
        <v>0.77219120364879701</v>
      </c>
      <c r="O4" s="87">
        <v>99</v>
      </c>
    </row>
    <row r="5" spans="2:15" x14ac:dyDescent="0.2">
      <c r="B5" s="90" t="s">
        <v>138</v>
      </c>
      <c r="C5" s="91" t="s">
        <v>34</v>
      </c>
      <c r="D5" s="92">
        <v>600000</v>
      </c>
      <c r="E5" s="93">
        <v>1225000</v>
      </c>
      <c r="F5" s="93">
        <f>CorpusTable[[#This Row],[Actual Till Oct-25]]-CorpusTable[[#This Row],[Invested Till Oct 25]]</f>
        <v>625000</v>
      </c>
      <c r="G5" s="94">
        <f>CorpusTable[[#This Row],[Invested Till Oct 25]]/CorpusTable[[#Totals],[Invested Till Oct 25]]</f>
        <v>8.1926988306560963E-2</v>
      </c>
      <c r="H5" s="234">
        <f>IFERROR((CorpusTable[[#This Row],[Actual Till Oct-25]]-CorpusTable[[#This Row],[Invested Till Oct 25]])/CorpusTable[[#This Row],[Invested Till Oct 25]],0)</f>
        <v>1.0416666666666667</v>
      </c>
      <c r="I5" s="414">
        <f>InvestmentTable[[#Totals],[Mutual Fund]]</f>
        <v>146428</v>
      </c>
      <c r="J5" s="415">
        <f>CorpusTable[[#This Row],[Invested Since Nov-25]]/CorpusTable[[#Totals],[Invested Since Nov-25]]</f>
        <v>0.39884292298138002</v>
      </c>
      <c r="K5" s="416">
        <f>CorpusTable[[#This Row],[Invested Till Oct 25]]+CorpusTable[[#This Row],[Invested Since Nov-25]]</f>
        <v>746428</v>
      </c>
      <c r="L5" s="417">
        <f>SUMIFS(AllocationTable[CURRENT VALUE],AllocationTable[TYPE],CorpusTable[[#This Row],[Asset]])+CorpusTable[[#This Row],[Wallet]]</f>
        <v>1324367.93227</v>
      </c>
      <c r="M5" s="417">
        <f>CorpusTable[[#This Row],[Current Value]]-CorpusTable[[#This Row],[Invested]]</f>
        <v>577939.93226999999</v>
      </c>
      <c r="N5" s="418">
        <f>IFERROR(CorpusTable[[#This Row],[Return]]/CorpusTable[[#This Row],[Invested]],"-")</f>
        <v>0.77427418621755884</v>
      </c>
    </row>
    <row r="6" spans="2:15" x14ac:dyDescent="0.2">
      <c r="B6" s="95" t="s">
        <v>143</v>
      </c>
      <c r="C6" s="221" t="s">
        <v>36</v>
      </c>
      <c r="D6" s="92">
        <v>705400</v>
      </c>
      <c r="E6" s="93">
        <v>795391</v>
      </c>
      <c r="F6" s="93">
        <f>CorpusTable[[#This Row],[Actual Till Oct-25]]-CorpusTable[[#This Row],[Invested Till Oct 25]]</f>
        <v>89991</v>
      </c>
      <c r="G6" s="94">
        <f>CorpusTable[[#This Row],[Invested Till Oct 25]]/CorpusTable[[#Totals],[Invested Till Oct 25]]</f>
        <v>9.6318829252413501E-2</v>
      </c>
      <c r="H6" s="234">
        <f>IFERROR((CorpusTable[[#This Row],[Actual Till Oct-25]]-CorpusTable[[#This Row],[Invested Till Oct 25]])/CorpusTable[[#This Row],[Invested Till Oct 25]],0)</f>
        <v>0.1275744258576694</v>
      </c>
      <c r="I6" s="419">
        <f>InvestmentTable[[#Totals],[Sukanya Samriddhi]]</f>
        <v>62500</v>
      </c>
      <c r="J6" s="420">
        <f>CorpusTable[[#This Row],[Invested Since Nov-25]]/CorpusTable[[#Totals],[Invested Since Nov-25]]</f>
        <v>0.17023849732521273</v>
      </c>
      <c r="K6" s="421">
        <f>CorpusTable[[#This Row],[Invested Till Oct 25]]+CorpusTable[[#This Row],[Invested Since Nov-25]]</f>
        <v>767900</v>
      </c>
      <c r="L6" s="422">
        <f ca="1">SUMIFS(AllocationTable[CURRENT VALUE],AllocationTable[TYPE],CorpusTable[[#This Row],[Asset]])+CorpusTable[[#This Row],[Wallet]]</f>
        <v>921405.24000000011</v>
      </c>
      <c r="M6" s="422">
        <f ca="1">CorpusTable[[#This Row],[Current Value]]-CorpusTable[[#This Row],[Invested]]</f>
        <v>153505.24000000011</v>
      </c>
      <c r="N6" s="423">
        <f ca="1">IFERROR(CorpusTable[[#This Row],[Return]]/CorpusTable[[#This Row],[Invested]],"-")</f>
        <v>0.19990264357338208</v>
      </c>
    </row>
    <row r="7" spans="2:15" x14ac:dyDescent="0.2">
      <c r="B7" s="95" t="s">
        <v>149</v>
      </c>
      <c r="C7" s="96" t="s">
        <v>36</v>
      </c>
      <c r="D7" s="92">
        <v>1800000</v>
      </c>
      <c r="E7" s="93">
        <f>2344530+100000+61306</f>
        <v>2505836</v>
      </c>
      <c r="F7" s="93">
        <f>CorpusTable[[#This Row],[Actual Till Oct-25]]-CorpusTable[[#This Row],[Invested Till Oct 25]]</f>
        <v>705836</v>
      </c>
      <c r="G7" s="94">
        <f>CorpusTable[[#This Row],[Invested Till Oct 25]]/CorpusTable[[#Totals],[Invested Till Oct 25]]</f>
        <v>0.24578096491968288</v>
      </c>
      <c r="H7" s="234">
        <f>IFERROR((CorpusTable[[#This Row],[Actual Till Oct-25]]-CorpusTable[[#This Row],[Invested Till Oct 25]])/CorpusTable[[#This Row],[Invested Till Oct 25]],0)</f>
        <v>0.3921311111111111</v>
      </c>
      <c r="I7" s="419">
        <f>InvestmentTable[[#Totals],[EPF]]</f>
        <v>131200</v>
      </c>
      <c r="J7" s="420">
        <f>CorpusTable[[#This Row],[Invested Since Nov-25]]/CorpusTable[[#Totals],[Invested Since Nov-25]]</f>
        <v>0.35736465358508657</v>
      </c>
      <c r="K7" s="421">
        <f>CorpusTable[[#This Row],[Invested Till Oct 25]]+CorpusTable[[#This Row],[Invested Since Nov-25]]</f>
        <v>1931200</v>
      </c>
      <c r="L7" s="422">
        <f ca="1">SUMIFS(AllocationTable[CURRENT VALUE],AllocationTable[TYPE],CorpusTable[[#This Row],[Asset]])+CorpusTable[[#This Row],[Wallet]]</f>
        <v>2558542.4</v>
      </c>
      <c r="M7" s="422">
        <f ca="1">CorpusTable[[#This Row],[Current Value]]-CorpusTable[[#This Row],[Invested]]</f>
        <v>627342.39999999991</v>
      </c>
      <c r="N7" s="423">
        <f ca="1">IFERROR(CorpusTable[[#This Row],[Return]]/CorpusTable[[#This Row],[Invested]],"-")</f>
        <v>0.32484589892294941</v>
      </c>
    </row>
    <row r="8" spans="2:15" x14ac:dyDescent="0.2">
      <c r="B8" s="95" t="s">
        <v>38</v>
      </c>
      <c r="C8" s="96" t="s">
        <v>276</v>
      </c>
      <c r="D8" s="92">
        <v>962526</v>
      </c>
      <c r="E8" s="93">
        <v>1500788</v>
      </c>
      <c r="F8" s="93">
        <f>CorpusTable[[#This Row],[Actual Till Oct-25]]-CorpusTable[[#This Row],[Invested Till Oct 25]]</f>
        <v>538262</v>
      </c>
      <c r="G8" s="94">
        <f>CorpusTable[[#This Row],[Invested Till Oct 25]]/CorpusTable[[#Totals],[Invested Till Oct 25]]</f>
        <v>0.13142809391126817</v>
      </c>
      <c r="H8" s="234">
        <f>IFERROR((CorpusTable[[#This Row],[Actual Till Oct-25]]-CorpusTable[[#This Row],[Invested Till Oct 25]])/CorpusTable[[#This Row],[Invested Till Oct 25]],0)</f>
        <v>0.55921814060087727</v>
      </c>
      <c r="I8" s="419">
        <f>InvestmentTable[[#Totals],[NPS]]</f>
        <v>77575</v>
      </c>
      <c r="J8" s="420">
        <f>CorpusTable[[#This Row],[Invested Since Nov-25]]/CorpusTable[[#Totals],[Invested Since Nov-25]]</f>
        <v>0.21130002288005403</v>
      </c>
      <c r="K8" s="421">
        <f>CorpusTable[[#This Row],[Invested Till Oct 25]]+CorpusTable[[#This Row],[Invested Since Nov-25]]</f>
        <v>1040101</v>
      </c>
      <c r="L8" s="422">
        <f ca="1">SUMIFS(AllocationTable[CURRENT VALUE],AllocationTable[TYPE],CorpusTable[[#This Row],[Asset]])+CorpusTable[[#This Row],[Wallet]]</f>
        <v>1521019.54</v>
      </c>
      <c r="M8" s="422">
        <f ca="1">CorpusTable[[#This Row],[Current Value]]-CorpusTable[[#This Row],[Invested]]</f>
        <v>480918.54000000004</v>
      </c>
      <c r="N8" s="423">
        <f ca="1">IFERROR(CorpusTable[[#This Row],[Return]]/CorpusTable[[#This Row],[Invested]],"-")</f>
        <v>0.46237676917914705</v>
      </c>
    </row>
    <row r="9" spans="2:15" x14ac:dyDescent="0.2">
      <c r="B9" s="97" t="s">
        <v>243</v>
      </c>
      <c r="C9" s="98" t="s">
        <v>140</v>
      </c>
      <c r="D9" s="92">
        <v>29000</v>
      </c>
      <c r="E9" s="93">
        <v>43000</v>
      </c>
      <c r="F9" s="93">
        <f>CorpusTable[[#This Row],[Actual Till Oct-25]]-CorpusTable[[#This Row],[Invested Till Oct 25]]</f>
        <v>14000</v>
      </c>
      <c r="G9" s="94">
        <f>CorpusTable[[#This Row],[Invested Till Oct 25]]/CorpusTable[[#Totals],[Invested Till Oct 25]]</f>
        <v>3.9598044348171128E-3</v>
      </c>
      <c r="H9" s="234">
        <f>IFERROR((CorpusTable[[#This Row],[Actual Till Oct-25]]-CorpusTable[[#This Row],[Invested Till Oct 25]])/CorpusTable[[#This Row],[Invested Till Oct 25]],0)</f>
        <v>0.48275862068965519</v>
      </c>
      <c r="I9" s="424">
        <f>InvestmentTable[[#Totals],[Gold MF]]</f>
        <v>15766</v>
      </c>
      <c r="J9" s="425">
        <f>CorpusTable[[#This Row],[Invested Since Nov-25]]/CorpusTable[[#Totals],[Invested Since Nov-25]]</f>
        <v>4.2943682381268861E-2</v>
      </c>
      <c r="K9" s="426">
        <f>CorpusTable[[#This Row],[Invested Till Oct 25]]+CorpusTable[[#This Row],[Invested Since Nov-25]]</f>
        <v>44766</v>
      </c>
      <c r="L9" s="427">
        <f>SUMIFS(AllocationTable[CURRENT VALUE],AllocationTable[TYPE],CorpusTable[[#This Row],[Asset]])+CorpusTable[[#This Row],[Wallet]]</f>
        <v>72019.929040000003</v>
      </c>
      <c r="M9" s="427">
        <f>CorpusTable[[#This Row],[Current Value]]-CorpusTable[[#This Row],[Invested]]</f>
        <v>27253.929040000003</v>
      </c>
      <c r="N9" s="428">
        <f>IFERROR(CorpusTable[[#This Row],[Return]]/CorpusTable[[#This Row],[Invested]],"-")</f>
        <v>0.60880867265335303</v>
      </c>
    </row>
    <row r="10" spans="2:15" x14ac:dyDescent="0.2">
      <c r="B10" s="97" t="s">
        <v>242</v>
      </c>
      <c r="C10" s="98" t="s">
        <v>140</v>
      </c>
      <c r="D10" s="92">
        <v>88324</v>
      </c>
      <c r="E10" s="93">
        <v>117000</v>
      </c>
      <c r="F10" s="93">
        <f>CorpusTable[[#This Row],[Actual Till Oct-25]]-CorpusTable[[#This Row],[Invested Till Oct 25]]</f>
        <v>28676</v>
      </c>
      <c r="G10" s="94">
        <f>CorpusTable[[#This Row],[Invested Till Oct 25]]/CorpusTable[[#Totals],[Invested Till Oct 25]]</f>
        <v>1.2060198858647817E-2</v>
      </c>
      <c r="H10" s="234">
        <f>IFERROR((CorpusTable[[#This Row],[Actual Till Oct-25]]-CorpusTable[[#This Row],[Invested Till Oct 25]])/CorpusTable[[#This Row],[Invested Till Oct 25]],0)</f>
        <v>0.32466826683574113</v>
      </c>
      <c r="I10" s="424">
        <f>InvestmentTable[[#Totals],[Gold ETF]]</f>
        <v>37098</v>
      </c>
      <c r="J10" s="425">
        <f>CorpusTable[[#This Row],[Invested Since Nov-25]]/CorpusTable[[#Totals],[Invested Since Nov-25]]</f>
        <v>0.10104812438033187</v>
      </c>
      <c r="K10" s="426">
        <f>CorpusTable[[#This Row],[Invested Till Oct 25]]+CorpusTable[[#This Row],[Invested Since Nov-25]]</f>
        <v>125422</v>
      </c>
      <c r="L10" s="427">
        <f>SUMIFS(AllocationTable[CURRENT VALUE],AllocationTable[TYPE],CorpusTable[[#This Row],[Asset]])+CorpusTable[[#This Row],[Wallet]]</f>
        <v>179271.05</v>
      </c>
      <c r="M10" s="427">
        <f>CorpusTable[[#This Row],[Current Value]]-CorpusTable[[#This Row],[Invested]]</f>
        <v>53849.049999999988</v>
      </c>
      <c r="N10" s="428">
        <f>IFERROR(CorpusTable[[#This Row],[Return]]/CorpusTable[[#This Row],[Invested]],"-")</f>
        <v>0.42934293824049996</v>
      </c>
    </row>
    <row r="11" spans="2:15" x14ac:dyDescent="0.2">
      <c r="B11" s="97" t="s">
        <v>140</v>
      </c>
      <c r="C11" s="98" t="s">
        <v>140</v>
      </c>
      <c r="D11" s="197">
        <f>9500*5.5</f>
        <v>52250</v>
      </c>
      <c r="E11" s="198">
        <f>10500*5.5</f>
        <v>57750</v>
      </c>
      <c r="F11" s="93">
        <f>CorpusTable[[#This Row],[Actual Till Oct-25]]-CorpusTable[[#This Row],[Invested Till Oct 25]]</f>
        <v>5500</v>
      </c>
      <c r="G11" s="94">
        <f>CorpusTable[[#This Row],[Invested Till Oct 25]]/CorpusTable[[#Totals],[Invested Till Oct 25]]</f>
        <v>7.13447523169635E-3</v>
      </c>
      <c r="H11" s="234">
        <f>IFERROR((CorpusTable[[#This Row],[Actual Till Oct-25]]-CorpusTable[[#This Row],[Invested Till Oct 25]])/CorpusTable[[#This Row],[Invested Till Oct 25]],0)</f>
        <v>0.10526315789473684</v>
      </c>
      <c r="I11" s="429">
        <f>InvestmentTable[[#Totals],[Gold]]</f>
        <v>0</v>
      </c>
      <c r="J11" s="425">
        <f>CorpusTable[[#This Row],[Invested Since Nov-25]]/CorpusTable[[#Totals],[Invested Since Nov-25]]</f>
        <v>0</v>
      </c>
      <c r="K11" s="426">
        <f>CorpusTable[[#This Row],[Invested Till Oct 25]]+CorpusTable[[#This Row],[Invested Since Nov-25]]</f>
        <v>52250</v>
      </c>
      <c r="L11" s="427">
        <f>SUMIFS(AllocationTable[CURRENT VALUE],AllocationTable[TYPE],CorpusTable[[#This Row],[Asset]])+CorpusTable[[#This Row],[Wallet]]</f>
        <v>77055</v>
      </c>
      <c r="M11" s="427">
        <f>CorpusTable[[#This Row],[Current Value]]-CorpusTable[[#This Row],[Invested]]</f>
        <v>24805</v>
      </c>
      <c r="N11" s="428">
        <f>IFERROR(CorpusTable[[#This Row],[Return]]/CorpusTable[[#This Row],[Invested]],"-")</f>
        <v>0.47473684210526318</v>
      </c>
    </row>
    <row r="12" spans="2:15" x14ac:dyDescent="0.2">
      <c r="B12" s="97" t="s">
        <v>35</v>
      </c>
      <c r="C12" s="98" t="s">
        <v>140</v>
      </c>
      <c r="D12" s="92">
        <v>200000</v>
      </c>
      <c r="E12" s="93">
        <f>36*12500</f>
        <v>450000</v>
      </c>
      <c r="F12" s="93">
        <f>CorpusTable[[#This Row],[Actual Till Oct-25]]-CorpusTable[[#This Row],[Invested Till Oct 25]]</f>
        <v>250000</v>
      </c>
      <c r="G12" s="94">
        <f>CorpusTable[[#This Row],[Invested Till Oct 25]]/CorpusTable[[#Totals],[Invested Till Oct 25]]</f>
        <v>2.7308996102186987E-2</v>
      </c>
      <c r="H12" s="234">
        <f>IFERROR((CorpusTable[[#This Row],[Actual Till Oct-25]]-CorpusTable[[#This Row],[Invested Till Oct 25]])/CorpusTable[[#This Row],[Invested Till Oct 25]],0)</f>
        <v>1.25</v>
      </c>
      <c r="I12" s="424">
        <f>InvestmentTable[[#Totals],[SGB]]</f>
        <v>0</v>
      </c>
      <c r="J12" s="425">
        <f>CorpusTable[[#This Row],[Invested Since Nov-25]]/CorpusTable[[#Totals],[Invested Since Nov-25]]</f>
        <v>0</v>
      </c>
      <c r="K12" s="426">
        <f>CorpusTable[[#This Row],[Invested Till Oct 25]]+CorpusTable[[#This Row],[Invested Since Nov-25]]</f>
        <v>200000</v>
      </c>
      <c r="L12" s="427">
        <f>SUMIFS(AllocationTable[CURRENT VALUE],AllocationTable[TYPE],CorpusTable[[#This Row],[Asset]])+CorpusTable[[#This Row],[Wallet]]</f>
        <v>550260</v>
      </c>
      <c r="M12" s="427">
        <f>CorpusTable[[#This Row],[Current Value]]-CorpusTable[[#This Row],[Invested]]</f>
        <v>350260</v>
      </c>
      <c r="N12" s="428">
        <f>IFERROR(CorpusTable[[#This Row],[Return]]/CorpusTable[[#This Row],[Invested]],"-")</f>
        <v>1.7513000000000001</v>
      </c>
    </row>
    <row r="13" spans="2:15" x14ac:dyDescent="0.2">
      <c r="B13" s="99" t="s">
        <v>41</v>
      </c>
      <c r="C13" s="100" t="s">
        <v>39</v>
      </c>
      <c r="D13" s="92">
        <v>0</v>
      </c>
      <c r="E13" s="93">
        <v>0</v>
      </c>
      <c r="F13" s="93">
        <f>CorpusTable[[#This Row],[Actual Till Oct-25]]-CorpusTable[[#This Row],[Invested Till Oct 25]]</f>
        <v>0</v>
      </c>
      <c r="G13" s="94">
        <f>CorpusTable[[#This Row],[Invested Till Oct 25]]/CorpusTable[[#Totals],[Invested Till Oct 25]]</f>
        <v>0</v>
      </c>
      <c r="H13" s="234">
        <f>IFERROR((CorpusTable[[#This Row],[Actual Till Oct-25]]-CorpusTable[[#This Row],[Invested Till Oct 25]])/CorpusTable[[#This Row],[Invested Till Oct 25]],0)</f>
        <v>0</v>
      </c>
      <c r="I13" s="414">
        <f>InvestmentTable[[#Totals],[Flat]]</f>
        <v>0</v>
      </c>
      <c r="J13" s="415">
        <f>CorpusTable[[#This Row],[Invested Since Nov-25]]/CorpusTable[[#Totals],[Invested Since Nov-25]]</f>
        <v>0</v>
      </c>
      <c r="K13" s="416">
        <f>CorpusTable[[#This Row],[Invested Till Oct 25]]+CorpusTable[[#This Row],[Invested Since Nov-25]]</f>
        <v>0</v>
      </c>
      <c r="L13" s="417">
        <f>SUMIFS(AllocationTable[CURRENT VALUE],AllocationTable[TYPE],CorpusTable[[#This Row],[Asset]])+CorpusTable[[#This Row],[Wallet]]</f>
        <v>0</v>
      </c>
      <c r="M13" s="417">
        <f>CorpusTable[[#This Row],[Current Value]]-CorpusTable[[#This Row],[Invested]]</f>
        <v>0</v>
      </c>
      <c r="N13" s="418" t="str">
        <f>IFERROR(CorpusTable[[#This Row],[Return]]/CorpusTable[[#This Row],[Invested]],"-")</f>
        <v>-</v>
      </c>
    </row>
    <row r="14" spans="2:15" x14ac:dyDescent="0.2">
      <c r="B14" s="101" t="s">
        <v>40</v>
      </c>
      <c r="C14" s="100" t="s">
        <v>39</v>
      </c>
      <c r="D14" s="92">
        <v>700000</v>
      </c>
      <c r="E14" s="93">
        <f>1100*1500</f>
        <v>1650000</v>
      </c>
      <c r="F14" s="93">
        <f>CorpusTable[[#This Row],[Actual Till Oct-25]]-CorpusTable[[#This Row],[Invested Till Oct 25]]</f>
        <v>950000</v>
      </c>
      <c r="G14" s="94">
        <f>CorpusTable[[#This Row],[Invested Till Oct 25]]/CorpusTable[[#Totals],[Invested Till Oct 25]]</f>
        <v>9.5581486357654455E-2</v>
      </c>
      <c r="H14" s="234">
        <f>IFERROR((CorpusTable[[#This Row],[Actual Till Oct-25]]-CorpusTable[[#This Row],[Invested Till Oct 25]])/CorpusTable[[#This Row],[Invested Till Oct 25]],0)</f>
        <v>1.3571428571428572</v>
      </c>
      <c r="I14" s="414">
        <f>InvestmentTable[[#Totals],[Land]]</f>
        <v>0</v>
      </c>
      <c r="J14" s="415">
        <f>CorpusTable[[#This Row],[Invested Since Nov-25]]/CorpusTable[[#Totals],[Invested Since Nov-25]]</f>
        <v>0</v>
      </c>
      <c r="K14" s="416">
        <f>CorpusTable[[#This Row],[Invested Till Oct 25]]+CorpusTable[[#This Row],[Invested Since Nov-25]]</f>
        <v>700000</v>
      </c>
      <c r="L14" s="417">
        <f>SUMIFS(AllocationTable[CURRENT VALUE],AllocationTable[TYPE],CorpusTable[[#This Row],[Asset]])+CorpusTable[[#This Row],[Wallet]]</f>
        <v>1650000</v>
      </c>
      <c r="M14" s="417">
        <f>CorpusTable[[#This Row],[Current Value]]-CorpusTable[[#This Row],[Invested]]</f>
        <v>950000</v>
      </c>
      <c r="N14" s="418">
        <f>IFERROR(CorpusTable[[#This Row],[Return]]/CorpusTable[[#This Row],[Invested]],"-")</f>
        <v>1.3571428571428572</v>
      </c>
    </row>
    <row r="15" spans="2:15" ht="12.75" thickBot="1" x14ac:dyDescent="0.25">
      <c r="B15" s="102" t="s">
        <v>30</v>
      </c>
      <c r="C15" s="103"/>
      <c r="D15" s="104">
        <f>SUBTOTAL(109,CorpusTable[Invested Till Oct 25])</f>
        <v>7323594</v>
      </c>
      <c r="E15" s="433">
        <f>SUBTOTAL(109,CorpusTable[Actual Till Oct-25])</f>
        <v>12144765</v>
      </c>
      <c r="F15" s="105">
        <f>SUBTOTAL(109,CorpusTable[Profit Till Oct-25])</f>
        <v>4821171</v>
      </c>
      <c r="G15" s="323">
        <f>SUBTOTAL(109,CorpusTable[Allocation % Till Oct 25])</f>
        <v>1</v>
      </c>
      <c r="H15" s="324">
        <f>SUBTOTAL(101,CorpusTable[Return % Till Date])</f>
        <v>0.57988030529205803</v>
      </c>
      <c r="I15" s="106">
        <f>SUBTOTAL(109,CorpusTable[Invested Since Nov-25])</f>
        <v>367132</v>
      </c>
      <c r="J15" s="107">
        <f>SUBTOTAL(109,CorpusTable[Allocation %])</f>
        <v>1</v>
      </c>
      <c r="K15" s="108">
        <f>SUBTOTAL(109,CorpusTable[Invested])</f>
        <v>7690726</v>
      </c>
      <c r="L15" s="433">
        <f ca="1">SUBTOTAL(109,CorpusTable[Current Value])</f>
        <v>12544811.051309999</v>
      </c>
      <c r="M15" s="255">
        <f ca="1">SUBTOTAL(109,CorpusTable[Return])</f>
        <v>4854085.0513099991</v>
      </c>
      <c r="N15" s="256">
        <f ca="1">SUBTOTAL(101,CorpusTable[Return%])</f>
        <v>0.71549220116838086</v>
      </c>
      <c r="O15" s="404"/>
    </row>
    <row r="16" spans="2:15" ht="12.75" thickBot="1" x14ac:dyDescent="0.25"/>
    <row r="17" spans="2:11" ht="12.75" thickBot="1" x14ac:dyDescent="0.25">
      <c r="D17" s="407" t="s">
        <v>302</v>
      </c>
      <c r="E17" s="408">
        <v>0.7</v>
      </c>
      <c r="F17" s="430">
        <f>C18*E17</f>
        <v>1916098.0999999996</v>
      </c>
    </row>
    <row r="18" spans="2:11" ht="12.75" thickBot="1" x14ac:dyDescent="0.25">
      <c r="B18" s="406" t="s">
        <v>323</v>
      </c>
      <c r="C18" s="430">
        <f>SUMIF(AllocationTable[TYPE],"Stocks",AllocationTable[AA])+O4</f>
        <v>2737282.9999999995</v>
      </c>
      <c r="F18" s="431"/>
    </row>
    <row r="19" spans="2:11" ht="12.75" thickBot="1" x14ac:dyDescent="0.25">
      <c r="D19" s="409" t="s">
        <v>324</v>
      </c>
      <c r="E19" s="408">
        <v>0.3</v>
      </c>
      <c r="F19" s="430">
        <f>C18*E19</f>
        <v>821184.89999999979</v>
      </c>
    </row>
    <row r="21" spans="2:11" ht="13.5" thickBot="1" x14ac:dyDescent="0.25">
      <c r="B21" s="111" t="s">
        <v>6</v>
      </c>
      <c r="C21" s="112" t="s">
        <v>261</v>
      </c>
      <c r="H21" s="88"/>
      <c r="J21" s="87"/>
      <c r="K21" s="87"/>
    </row>
    <row r="22" spans="2:11" ht="13.5" thickBot="1" x14ac:dyDescent="0.25">
      <c r="B22" s="220">
        <v>45931</v>
      </c>
      <c r="C22" s="110">
        <v>128000</v>
      </c>
      <c r="H22" s="88"/>
      <c r="J22" s="87"/>
      <c r="K22" s="87"/>
    </row>
    <row r="23" spans="2:11" ht="13.5" thickBot="1" x14ac:dyDescent="0.25">
      <c r="B23" s="220">
        <v>45962</v>
      </c>
      <c r="C23" s="110">
        <f>IFERROR(C22-INDEX( Table3[Month], MATCH(RBITable[[#This Row],[Month]], RBITable[Month], 0) ),0)</f>
        <v>82008</v>
      </c>
      <c r="H23" s="88"/>
      <c r="J23" s="87"/>
      <c r="K23" s="87"/>
    </row>
    <row r="24" spans="2:11" ht="13.5" thickBot="1" x14ac:dyDescent="0.25">
      <c r="B24" s="220">
        <v>45992</v>
      </c>
      <c r="C24" s="110">
        <f>IFERROR(C23-INDEX( Table3[Month], MATCH(RBITable[[#This Row],[Month]], RBITable[Month], 0) ),0)</f>
        <v>35985</v>
      </c>
      <c r="H24" s="88"/>
      <c r="J24" s="87"/>
      <c r="K24" s="87"/>
    </row>
    <row r="25" spans="2:11" ht="13.5" thickBot="1" x14ac:dyDescent="0.25">
      <c r="B25" s="220">
        <v>46023</v>
      </c>
      <c r="C25" s="110">
        <f>IFERROR(C24-INDEX( Table3[Month], MATCH(RBITable[[#This Row],[Month]], RBITable[Month], 0) ),0)</f>
        <v>-10069</v>
      </c>
      <c r="H25" s="88"/>
      <c r="J25" s="87"/>
      <c r="K25" s="87"/>
    </row>
    <row r="26" spans="2:11" ht="13.5" thickBot="1" x14ac:dyDescent="0.25">
      <c r="B26" s="220">
        <v>46054</v>
      </c>
      <c r="C26" s="110">
        <f>IFERROR(C25-INDEX( Table3[Month], MATCH(RBITable[[#This Row],[Month]], RBITable[Month], 0) ),0)</f>
        <v>-56151</v>
      </c>
      <c r="H26" s="88"/>
      <c r="J26" s="87"/>
      <c r="K26" s="87"/>
    </row>
    <row r="27" spans="2:11" ht="13.5" thickBot="1" x14ac:dyDescent="0.25">
      <c r="B27" s="285">
        <v>46082</v>
      </c>
      <c r="C27" s="110">
        <f>IFERROR(C26-INDEX( Table3[Month], MATCH(RBITable[[#This Row],[Month]], RBITable[Month], 0) ),0)</f>
        <v>-102264</v>
      </c>
    </row>
    <row r="28" spans="2:11" ht="13.5" thickBot="1" x14ac:dyDescent="0.25">
      <c r="B28" s="285">
        <v>46113</v>
      </c>
      <c r="C28" s="110">
        <f>IFERROR(C27-INDEX( Table3[Month], MATCH(RBITable[[#This Row],[Month]], RBITable[Month], 0) ),0)</f>
        <v>0</v>
      </c>
    </row>
    <row r="29" spans="2:11" ht="13.5" thickBot="1" x14ac:dyDescent="0.25">
      <c r="B29" s="285">
        <v>46143</v>
      </c>
      <c r="C29" s="110">
        <f>IFERROR(C28-INDEX( Table3[Month], MATCH(RBITable[[#This Row],[Month]], RBITable[Month], 0) ),0)</f>
        <v>0</v>
      </c>
    </row>
    <row r="30" spans="2:11" ht="13.5" thickBot="1" x14ac:dyDescent="0.25">
      <c r="B30" s="285">
        <v>46174</v>
      </c>
      <c r="C30" s="110">
        <f>IFERROR(C29-INDEX( Table3[Month], MATCH(RBITable[[#This Row],[Month]], RBITable[Month], 0) ),0)</f>
        <v>0</v>
      </c>
    </row>
    <row r="31" spans="2:11" ht="13.5" thickBot="1" x14ac:dyDescent="0.25">
      <c r="B31" s="285">
        <v>46204</v>
      </c>
      <c r="C31" s="110">
        <f>IFERROR(C30-INDEX( Table3[Month], MATCH(RBITable[[#This Row],[Month]], RBITable[Month], 0) ),0)</f>
        <v>0</v>
      </c>
    </row>
    <row r="32" spans="2:11" ht="13.5" thickBot="1" x14ac:dyDescent="0.25">
      <c r="B32" s="285">
        <v>46235</v>
      </c>
      <c r="C32" s="110">
        <f>IFERROR(C31-INDEX( Table3[Month], MATCH(RBITable[[#This Row],[Month]], RBITable[Month], 0) ),0)</f>
        <v>0</v>
      </c>
    </row>
    <row r="33" spans="2:3" ht="13.5" thickBot="1" x14ac:dyDescent="0.25">
      <c r="B33" s="285">
        <v>46266</v>
      </c>
      <c r="C33" s="110">
        <f>IFERROR(C32-INDEX( Table3[Month], MATCH(RBITable[[#This Row],[Month]], RBITable[Month], 0) ),0)</f>
        <v>0</v>
      </c>
    </row>
    <row r="34" spans="2:3" ht="13.5" thickBot="1" x14ac:dyDescent="0.25">
      <c r="B34" s="285">
        <v>46296</v>
      </c>
      <c r="C34" s="110">
        <f>IFERROR(C33-INDEX( Table3[Month], MATCH(RBITable[[#This Row],[Month]], RBITable[Month], 0) ),0)</f>
        <v>0</v>
      </c>
    </row>
    <row r="35" spans="2:3" ht="13.5" thickBot="1" x14ac:dyDescent="0.25">
      <c r="B35" s="285">
        <v>46327</v>
      </c>
      <c r="C35" s="110">
        <f>IFERROR(C34-INDEX( Table3[Month], MATCH(RBITable[[#This Row],[Month]], RBITable[Month], 0) ),0)</f>
        <v>0</v>
      </c>
    </row>
    <row r="36" spans="2:3" ht="12.75" x14ac:dyDescent="0.2">
      <c r="B36" s="285">
        <v>46357</v>
      </c>
      <c r="C36" s="110">
        <f>IFERROR(C35-INDEX( Table3[Month], MATCH(RBITable[[#This Row],[Month]], RBITable[Month], 0) ),0)</f>
        <v>0</v>
      </c>
    </row>
  </sheetData>
  <mergeCells count="1">
    <mergeCell ref="B1:N1"/>
  </mergeCells>
  <phoneticPr fontId="9" type="noConversion"/>
  <pageMargins left="0.7" right="0.7" top="0.75" bottom="0.75" header="0.3" footer="0.3"/>
  <ignoredErrors>
    <ignoredError sqref="E4:E14" calculatedColumn="1"/>
  </ignoredErrors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5E9A-FE67-43F7-BF25-185EB2B98FF9}">
  <sheetPr>
    <tabColor rgb="FF009900"/>
  </sheetPr>
  <dimension ref="A1:O41"/>
  <sheetViews>
    <sheetView zoomScale="90" zoomScaleNormal="90" workbookViewId="0">
      <pane xSplit="1" topLeftCell="B1" activePane="topRight" state="frozen"/>
      <selection activeCell="A47" sqref="A47"/>
      <selection pane="topRight" activeCell="F4" sqref="F4"/>
    </sheetView>
  </sheetViews>
  <sheetFormatPr defaultColWidth="8.85546875" defaultRowHeight="15" customHeight="1" x14ac:dyDescent="0.25"/>
  <cols>
    <col min="1" max="1" width="14.140625" style="54" customWidth="1"/>
    <col min="2" max="2" width="14.140625" customWidth="1"/>
    <col min="3" max="3" width="26.85546875" style="231" bestFit="1" customWidth="1"/>
    <col min="4" max="4" width="6.42578125" customWidth="1"/>
    <col min="5" max="5" width="10.5703125" bestFit="1" customWidth="1"/>
    <col min="6" max="6" width="9.5703125" bestFit="1" customWidth="1"/>
    <col min="7" max="7" width="16.140625" customWidth="1"/>
    <col min="8" max="8" width="13.7109375" style="225" bestFit="1" customWidth="1"/>
    <col min="9" max="9" width="10.42578125" customWidth="1"/>
    <col min="10" max="10" width="16.7109375" customWidth="1"/>
    <col min="11" max="11" width="11.140625" customWidth="1"/>
    <col min="12" max="12" width="10.28515625" customWidth="1"/>
    <col min="13" max="13" width="10.42578125" customWidth="1"/>
    <col min="14" max="14" width="10.42578125" bestFit="1" customWidth="1"/>
    <col min="15" max="15" width="17.42578125" bestFit="1" customWidth="1"/>
  </cols>
  <sheetData>
    <row r="1" spans="1:15" ht="34.5" customHeight="1" thickBot="1" x14ac:dyDescent="0.3">
      <c r="A1" s="135" t="s">
        <v>179</v>
      </c>
      <c r="B1" s="135" t="s">
        <v>181</v>
      </c>
      <c r="C1" s="229" t="s">
        <v>180</v>
      </c>
      <c r="D1" s="136" t="s">
        <v>182</v>
      </c>
      <c r="E1" s="136" t="s">
        <v>183</v>
      </c>
      <c r="F1" s="136" t="s">
        <v>54</v>
      </c>
      <c r="G1" s="138" t="s">
        <v>185</v>
      </c>
      <c r="H1" s="223" t="s">
        <v>190</v>
      </c>
      <c r="I1" s="139" t="s">
        <v>191</v>
      </c>
      <c r="J1" s="140" t="s">
        <v>192</v>
      </c>
      <c r="K1" s="141" t="s">
        <v>193</v>
      </c>
      <c r="L1" s="141" t="s">
        <v>194</v>
      </c>
      <c r="M1" s="142" t="s">
        <v>195</v>
      </c>
      <c r="N1" s="142" t="s">
        <v>196</v>
      </c>
      <c r="O1" s="143" t="s">
        <v>197</v>
      </c>
    </row>
    <row r="2" spans="1:15" ht="15.75" thickBot="1" x14ac:dyDescent="0.3">
      <c r="A2" s="144" t="s">
        <v>204</v>
      </c>
      <c r="B2" s="146" t="s">
        <v>42</v>
      </c>
      <c r="C2" s="230" t="str">
        <f>VLOOKUP(AllocationTable9[[#This Row],[TRADE]],AllocationTable[[TRADE]:[SECTOR]],2,0)</f>
        <v>FINANCIAL SERVICES</v>
      </c>
      <c r="D2" s="200">
        <v>90</v>
      </c>
      <c r="E2" s="201">
        <v>708.17</v>
      </c>
      <c r="F2" s="201">
        <f>VLOOKUP(AllocationTable9[[#This Row],[TRADE]],LatestDump!A:I,4,0)</f>
        <v>2669.4</v>
      </c>
      <c r="G2" s="203">
        <f>AllocationTable9[[#This Row],[EA]]-AllocationTable9[[#This Row],[AA]]</f>
        <v>36264.700000000004</v>
      </c>
      <c r="H2" s="224">
        <f>(AllocationTable9[[#This Row],[QNT]]*AllocationTable9[[#This Row],[LTP]])-(AllocationTable9[[#This Row],[QNT]]*AllocationTable9[[#This Row],[AVG.]])</f>
        <v>176510.7</v>
      </c>
      <c r="I2" s="204">
        <f>IFERROR(AllocationTable9[[#This Row],[PROFIT]]/AllocationTable9[[#This Row],[AA]],0)</f>
        <v>2.7694338929917963</v>
      </c>
      <c r="J2" s="199">
        <f>AllocationTable9[[#This Row],[QNT]]*AllocationTable9[[#This Row],[LTP]]</f>
        <v>240246</v>
      </c>
      <c r="K2" s="205">
        <f>AllocationTable9[[#This Row],[EA]]/AllocationTable9[[#Totals],[EA]]</f>
        <v>7.8125E-2</v>
      </c>
      <c r="L2" s="205">
        <f>AllocationTable9[[#This Row],[AA]]/AllocationTable9[[#Totals],[AA]]</f>
        <v>5.1913117878550102E-2</v>
      </c>
      <c r="M2" s="202">
        <v>100000</v>
      </c>
      <c r="N2" s="201">
        <f>AllocationTable9[[#This Row],[QNT]]*AllocationTable9[[#This Row],[AVG.]]</f>
        <v>63735.299999999996</v>
      </c>
      <c r="O2" s="206" t="s">
        <v>200</v>
      </c>
    </row>
    <row r="3" spans="1:15" ht="15.75" thickBot="1" x14ac:dyDescent="0.3">
      <c r="A3" s="146" t="s">
        <v>203</v>
      </c>
      <c r="B3" s="146" t="s">
        <v>42</v>
      </c>
      <c r="C3" s="230" t="str">
        <f>VLOOKUP(AllocationTable9[[#This Row],[TRADE]],AllocationTable[[TRADE]:[SECTOR]],2,0)</f>
        <v>ENGINEERING &amp; CAPITAL GOODS</v>
      </c>
      <c r="D3" s="200">
        <v>750</v>
      </c>
      <c r="E3" s="201">
        <v>36.22</v>
      </c>
      <c r="F3" s="201">
        <f>VLOOKUP(AllocationTable9[[#This Row],[TRADE]],LatestDump!A:I,4,0)</f>
        <v>100.26</v>
      </c>
      <c r="G3" s="203">
        <f>AllocationTable9[[#This Row],[EA]]-AllocationTable9[[#This Row],[AA]]</f>
        <v>22835</v>
      </c>
      <c r="H3" s="224">
        <f>(AllocationTable9[[#This Row],[QNT]]*AllocationTable9[[#This Row],[LTP]])-(AllocationTable9[[#This Row],[QNT]]*AllocationTable9[[#This Row],[AVG.]])</f>
        <v>48030</v>
      </c>
      <c r="I3" s="204">
        <f>IFERROR(AllocationTable9[[#This Row],[PROFIT]]/AllocationTable9[[#This Row],[AA]],0)</f>
        <v>1.7680839315295418</v>
      </c>
      <c r="J3" s="199">
        <f>AllocationTable9[[#This Row],[QNT]]*AllocationTable9[[#This Row],[LTP]]</f>
        <v>75195</v>
      </c>
      <c r="K3" s="205">
        <f>AllocationTable9[[#This Row],[EA]]/AllocationTable9[[#Totals],[EA]]</f>
        <v>3.90625E-2</v>
      </c>
      <c r="L3" s="205">
        <f>AllocationTable9[[#This Row],[AA]]/AllocationTable9[[#Totals],[AA]]</f>
        <v>2.2126197682772554E-2</v>
      </c>
      <c r="M3" s="202">
        <v>50000</v>
      </c>
      <c r="N3" s="201">
        <f>AllocationTable9[[#This Row],[QNT]]*AllocationTable9[[#This Row],[AVG.]]</f>
        <v>27165</v>
      </c>
      <c r="O3" s="206" t="s">
        <v>199</v>
      </c>
    </row>
    <row r="4" spans="1:15" ht="15.75" thickBot="1" x14ac:dyDescent="0.3">
      <c r="A4" s="452" t="s">
        <v>63</v>
      </c>
      <c r="B4" s="146" t="s">
        <v>42</v>
      </c>
      <c r="C4" s="200" t="str">
        <f>VLOOKUP(AllocationTable9[[#This Row],[TRADE]],AllocationTable[[TRADE]:[SECTOR]],2,0)</f>
        <v>AUTO ANCILLARY</v>
      </c>
      <c r="D4" s="200">
        <v>100</v>
      </c>
      <c r="E4" s="201">
        <v>315.91000000000003</v>
      </c>
      <c r="F4" s="201">
        <f>VLOOKUP(AllocationTable9[[#This Row],[TRADE]],LatestDump!A:I,4,0)</f>
        <v>863.45</v>
      </c>
      <c r="G4" s="203">
        <f>AllocationTable9[[#This Row],[EA]]-AllocationTable9[[#This Row],[AA]]</f>
        <v>18408.999999999996</v>
      </c>
      <c r="H4" s="232">
        <f>(AllocationTable9[[#This Row],[QNT]]*AllocationTable9[[#This Row],[LTP]])-(AllocationTable9[[#This Row],[QNT]]*AllocationTable9[[#This Row],[AVG.]])</f>
        <v>54754</v>
      </c>
      <c r="I4" s="204">
        <f>IFERROR(AllocationTable9[[#This Row],[PROFIT]]/AllocationTable9[[#This Row],[AA]],0)</f>
        <v>1.7332151562153777</v>
      </c>
      <c r="J4" s="199">
        <f>AllocationTable9[[#This Row],[QNT]]*AllocationTable9[[#This Row],[LTP]]</f>
        <v>86345</v>
      </c>
      <c r="K4" s="205">
        <f>AllocationTable9[[#This Row],[EA]]/AllocationTable9[[#Totals],[EA]]</f>
        <v>3.90625E-2</v>
      </c>
      <c r="L4" s="205">
        <f>AllocationTable9[[#This Row],[AA]]/AllocationTable9[[#Totals],[AA]]</f>
        <v>2.5731224406275278E-2</v>
      </c>
      <c r="M4" s="202">
        <v>50000</v>
      </c>
      <c r="N4" s="201">
        <f>AllocationTable9[[#This Row],[QNT]]*AllocationTable9[[#This Row],[AVG.]]</f>
        <v>31591.000000000004</v>
      </c>
      <c r="O4" s="206" t="s">
        <v>352</v>
      </c>
    </row>
    <row r="5" spans="1:15" ht="15.75" thickBot="1" x14ac:dyDescent="0.3">
      <c r="A5" s="134" t="s">
        <v>209</v>
      </c>
      <c r="B5" s="134" t="s">
        <v>42</v>
      </c>
      <c r="C5" s="230" t="str">
        <f>VLOOKUP(AllocationTable9[[#This Row],[TRADE]],AllocationTable[[TRADE]:[SECTOR]],2,0)</f>
        <v>METALS</v>
      </c>
      <c r="D5" s="200">
        <v>200</v>
      </c>
      <c r="E5" s="201">
        <v>347</v>
      </c>
      <c r="F5" s="201">
        <f>VLOOKUP(AllocationTable9[[#This Row],[TRADE]],LatestDump!A:I,4,0)</f>
        <v>745.15</v>
      </c>
      <c r="G5" s="203">
        <f>AllocationTable9[[#This Row],[EA]]-AllocationTable9[[#This Row],[AA]]</f>
        <v>-9400</v>
      </c>
      <c r="H5" s="224">
        <f>(AllocationTable9[[#This Row],[QNT]]*AllocationTable9[[#This Row],[LTP]])-(AllocationTable9[[#This Row],[QNT]]*AllocationTable9[[#This Row],[AVG.]])</f>
        <v>79630</v>
      </c>
      <c r="I5" s="204">
        <f>IFERROR(AllocationTable9[[#This Row],[PROFIT]]/AllocationTable9[[#This Row],[AA]],0)</f>
        <v>1.1474063400576369</v>
      </c>
      <c r="J5" s="199">
        <f>AllocationTable9[[#This Row],[QNT]]*AllocationTable9[[#This Row],[LTP]]</f>
        <v>149030</v>
      </c>
      <c r="K5" s="205">
        <f>AllocationTable9[[#This Row],[EA]]/AllocationTable9[[#Totals],[EA]]</f>
        <v>4.6875E-2</v>
      </c>
      <c r="L5" s="205">
        <f>AllocationTable9[[#This Row],[AA]]/AllocationTable9[[#Totals],[AA]]</f>
        <v>5.6527079668117625E-2</v>
      </c>
      <c r="M5" s="202">
        <v>60000</v>
      </c>
      <c r="N5" s="207">
        <f>AllocationTable9[[#This Row],[QNT]]*AllocationTable9[[#This Row],[AVG.]]</f>
        <v>69400</v>
      </c>
      <c r="O5" s="206" t="s">
        <v>199</v>
      </c>
    </row>
    <row r="6" spans="1:15" ht="15.75" thickBot="1" x14ac:dyDescent="0.3">
      <c r="A6" s="134" t="s">
        <v>78</v>
      </c>
      <c r="B6" s="134" t="s">
        <v>42</v>
      </c>
      <c r="C6" s="230" t="str">
        <f>VLOOKUP(AllocationTable9[[#This Row],[TRADE]],AllocationTable[[TRADE]:[SECTOR]],2,0)</f>
        <v>IT</v>
      </c>
      <c r="D6" s="200">
        <v>400</v>
      </c>
      <c r="E6" s="201">
        <v>136.07</v>
      </c>
      <c r="F6" s="201">
        <f>VLOOKUP(AllocationTable9[[#This Row],[TRADE]],LatestDump!A:I,4,0)</f>
        <v>240</v>
      </c>
      <c r="G6" s="203">
        <f>AllocationTable9[[#This Row],[EA]]-AllocationTable9[[#This Row],[AA]]</f>
        <v>-4428</v>
      </c>
      <c r="H6" s="224">
        <f>(AllocationTable9[[#This Row],[QNT]]*AllocationTable9[[#This Row],[LTP]])-(AllocationTable9[[#This Row],[QNT]]*AllocationTable9[[#This Row],[AVG.]])</f>
        <v>41572</v>
      </c>
      <c r="I6" s="204">
        <f>IFERROR(AllocationTable9[[#This Row],[PROFIT]]/AllocationTable9[[#This Row],[AA]],0)</f>
        <v>0.76379804512383331</v>
      </c>
      <c r="J6" s="199">
        <f>AllocationTable9[[#This Row],[QNT]]*AllocationTable9[[#This Row],[LTP]]</f>
        <v>96000</v>
      </c>
      <c r="K6" s="205">
        <f>AllocationTable9[[#This Row],[EA]]/AllocationTable9[[#Totals],[EA]]</f>
        <v>3.90625E-2</v>
      </c>
      <c r="L6" s="205">
        <f>AllocationTable9[[#This Row],[AA]]/AllocationTable9[[#Totals],[AA]]</f>
        <v>4.433221746651738E-2</v>
      </c>
      <c r="M6" s="202">
        <v>50000</v>
      </c>
      <c r="N6" s="201">
        <f>AllocationTable9[[#This Row],[QNT]]*AllocationTable9[[#This Row],[AVG.]]</f>
        <v>54428</v>
      </c>
      <c r="O6" s="206" t="s">
        <v>199</v>
      </c>
    </row>
    <row r="7" spans="1:15" ht="15.75" thickBot="1" x14ac:dyDescent="0.3">
      <c r="A7" s="144" t="s">
        <v>70</v>
      </c>
      <c r="B7" s="144" t="s">
        <v>42</v>
      </c>
      <c r="C7" s="230" t="str">
        <f>VLOOKUP(AllocationTable9[[#This Row],[TRADE]],AllocationTable[[TRADE]:[SECTOR]],2,0)</f>
        <v>FINANCIAL SERVICES</v>
      </c>
      <c r="D7" s="200">
        <v>125</v>
      </c>
      <c r="E7" s="201">
        <v>1863.78</v>
      </c>
      <c r="F7" s="201">
        <f>VLOOKUP(AllocationTable9[[#This Row],[TRADE]],LatestDump!A:I,4,0)</f>
        <v>3281.2</v>
      </c>
      <c r="G7" s="203">
        <f>AllocationTable9[[#This Row],[EA]]-AllocationTable9[[#This Row],[AA]]</f>
        <v>-32972.5</v>
      </c>
      <c r="H7" s="224">
        <f>(AllocationTable9[[#This Row],[QNT]]*AllocationTable9[[#This Row],[LTP]])-(AllocationTable9[[#This Row],[QNT]]*AllocationTable9[[#This Row],[AVG.]])</f>
        <v>177177.5</v>
      </c>
      <c r="I7" s="204">
        <f>IFERROR(AllocationTable9[[#This Row],[PROFIT]]/AllocationTable9[[#This Row],[AA]],0)</f>
        <v>0.76050821448883454</v>
      </c>
      <c r="J7" s="199">
        <f>AllocationTable9[[#This Row],[QNT]]*AllocationTable9[[#This Row],[LTP]]</f>
        <v>410150</v>
      </c>
      <c r="K7" s="205">
        <f>AllocationTable9[[#This Row],[EA]]/AllocationTable9[[#Totals],[EA]]</f>
        <v>0.15625</v>
      </c>
      <c r="L7" s="205">
        <f>AllocationTable9[[#This Row],[AA]]/AllocationTable9[[#Totals],[AA]]</f>
        <v>0.18975871855879731</v>
      </c>
      <c r="M7" s="202">
        <v>200000</v>
      </c>
      <c r="N7" s="201">
        <f>AllocationTable9[[#This Row],[QNT]]*AllocationTable9[[#This Row],[AVG.]]</f>
        <v>232972.5</v>
      </c>
      <c r="O7" s="206" t="s">
        <v>199</v>
      </c>
    </row>
    <row r="8" spans="1:15" ht="15.75" thickBot="1" x14ac:dyDescent="0.3">
      <c r="A8" s="147" t="s">
        <v>99</v>
      </c>
      <c r="B8" s="147" t="s">
        <v>42</v>
      </c>
      <c r="C8" s="230" t="str">
        <f>VLOOKUP(AllocationTable9[[#This Row],[TRADE]],AllocationTable[[TRADE]:[SECTOR]],2,0)</f>
        <v>AUTO ANCILLARY</v>
      </c>
      <c r="D8" s="200">
        <v>20</v>
      </c>
      <c r="E8" s="201">
        <v>1945.77</v>
      </c>
      <c r="F8" s="201">
        <f>VLOOKUP(AllocationTable9[[#This Row],[TRADE]],LatestDump!A:I,4,0)</f>
        <v>3261.8</v>
      </c>
      <c r="G8" s="203">
        <f>AllocationTable9[[#This Row],[EA]]-AllocationTable9[[#This Row],[AA]]</f>
        <v>11084.599999999999</v>
      </c>
      <c r="H8" s="224">
        <f>(AllocationTable9[[#This Row],[QNT]]*AllocationTable9[[#This Row],[LTP]])-(AllocationTable9[[#This Row],[QNT]]*AllocationTable9[[#This Row],[AVG.]])</f>
        <v>26320.6</v>
      </c>
      <c r="I8" s="204">
        <f>IFERROR(AllocationTable9[[#This Row],[PROFIT]]/AllocationTable9[[#This Row],[AA]],0)</f>
        <v>0.67635434815008966</v>
      </c>
      <c r="J8" s="199">
        <f>AllocationTable9[[#This Row],[QNT]]*AllocationTable9[[#This Row],[LTP]]</f>
        <v>65236</v>
      </c>
      <c r="K8" s="205">
        <f>AllocationTable9[[#This Row],[EA]]/AllocationTable9[[#Totals],[EA]]</f>
        <v>3.90625E-2</v>
      </c>
      <c r="L8" s="205">
        <f>AllocationTable9[[#This Row],[AA]]/AllocationTable9[[#Totals],[AA]]</f>
        <v>3.1697030491594592E-2</v>
      </c>
      <c r="M8" s="202">
        <v>50000</v>
      </c>
      <c r="N8" s="201">
        <f>AllocationTable9[[#This Row],[QNT]]*AllocationTable9[[#This Row],[AVG.]]</f>
        <v>38915.4</v>
      </c>
      <c r="O8" s="206" t="s">
        <v>199</v>
      </c>
    </row>
    <row r="9" spans="1:15" ht="15.75" thickBot="1" x14ac:dyDescent="0.3">
      <c r="A9" s="147" t="s">
        <v>82</v>
      </c>
      <c r="B9" s="147" t="s">
        <v>42</v>
      </c>
      <c r="C9" s="230" t="str">
        <f>VLOOKUP(AllocationTable9[[#This Row],[TRADE]],AllocationTable[[TRADE]:[SECTOR]],2,0)</f>
        <v>AUTO ANCILLARY</v>
      </c>
      <c r="D9" s="200">
        <v>350</v>
      </c>
      <c r="E9" s="201">
        <v>455.79</v>
      </c>
      <c r="F9" s="201">
        <f>VLOOKUP(AllocationTable9[[#This Row],[TRADE]],LatestDump!A:I,4,0)</f>
        <v>730.65</v>
      </c>
      <c r="G9" s="203">
        <f>AllocationTable9[[#This Row],[EA]]-AllocationTable9[[#This Row],[AA]]</f>
        <v>-9526.5</v>
      </c>
      <c r="H9" s="224">
        <f>(AllocationTable9[[#This Row],[QNT]]*AllocationTable9[[#This Row],[LTP]])-(AllocationTable9[[#This Row],[QNT]]*AllocationTable9[[#This Row],[AVG.]])</f>
        <v>96201</v>
      </c>
      <c r="I9" s="204">
        <f>IFERROR(AllocationTable9[[#This Row],[PROFIT]]/AllocationTable9[[#This Row],[AA]],0)</f>
        <v>0.60304087408675044</v>
      </c>
      <c r="J9" s="199">
        <f>AllocationTable9[[#This Row],[QNT]]*AllocationTable9[[#This Row],[LTP]]</f>
        <v>255727.5</v>
      </c>
      <c r="K9" s="205">
        <f>AllocationTable9[[#This Row],[EA]]/AllocationTable9[[#Totals],[EA]]</f>
        <v>0.1171875</v>
      </c>
      <c r="L9" s="205">
        <f>AllocationTable9[[#This Row],[AA]]/AllocationTable9[[#Totals],[AA]]</f>
        <v>0.12993612643625313</v>
      </c>
      <c r="M9" s="202">
        <v>150000</v>
      </c>
      <c r="N9" s="201">
        <f>AllocationTable9[[#This Row],[QNT]]*AllocationTable9[[#This Row],[AVG.]]</f>
        <v>159526.5</v>
      </c>
      <c r="O9" s="206" t="s">
        <v>200</v>
      </c>
    </row>
    <row r="10" spans="1:15" ht="15.75" thickBot="1" x14ac:dyDescent="0.3">
      <c r="A10" s="199" t="s">
        <v>262</v>
      </c>
      <c r="B10" s="199" t="s">
        <v>42</v>
      </c>
      <c r="C10" s="200" t="str">
        <f>VLOOKUP(AllocationTable9[[#This Row],[TRADE]],AllocationTable[[TRADE]:[SECTOR]],2,0)</f>
        <v>FINANCIAL SERVICES</v>
      </c>
      <c r="D10" s="200">
        <v>6</v>
      </c>
      <c r="E10" s="201">
        <v>2165</v>
      </c>
      <c r="F10" s="201">
        <f>VLOOKUP(AllocationTable9[[#This Row],[TRADE]],LatestDump!A:I,4,0)</f>
        <v>3390.2</v>
      </c>
      <c r="G10" s="203">
        <f>AllocationTable9[[#This Row],[EA]]-AllocationTable9[[#This Row],[AA]]</f>
        <v>17010</v>
      </c>
      <c r="H10" s="232">
        <f>(AllocationTable9[[#This Row],[QNT]]*AllocationTable9[[#This Row],[LTP]])-(AllocationTable9[[#This Row],[QNT]]*AllocationTable9[[#This Row],[AVG.]])</f>
        <v>7351.1999999999971</v>
      </c>
      <c r="I10" s="204">
        <f>IFERROR(AllocationTable9[[#This Row],[PROFIT]]/AllocationTable9[[#This Row],[AA]],0)</f>
        <v>0.56591224018475728</v>
      </c>
      <c r="J10" s="199">
        <f>AllocationTable9[[#This Row],[QNT]]*AllocationTable9[[#This Row],[LTP]]</f>
        <v>20341.199999999997</v>
      </c>
      <c r="K10" s="205">
        <f>AllocationTable9[[#This Row],[EA]]/AllocationTable9[[#Totals],[EA]]</f>
        <v>2.34375E-2</v>
      </c>
      <c r="L10" s="205">
        <f>AllocationTable9[[#This Row],[AA]]/AllocationTable9[[#Totals],[AA]]</f>
        <v>1.058050093499781E-2</v>
      </c>
      <c r="M10" s="202">
        <v>30000</v>
      </c>
      <c r="N10" s="201">
        <f>AllocationTable9[[#This Row],[QNT]]*AllocationTable9[[#This Row],[AVG.]]</f>
        <v>12990</v>
      </c>
      <c r="O10" s="206" t="s">
        <v>199</v>
      </c>
    </row>
    <row r="11" spans="1:15" ht="15.75" thickBot="1" x14ac:dyDescent="0.3">
      <c r="A11" s="146" t="s">
        <v>93</v>
      </c>
      <c r="B11" s="146" t="s">
        <v>42</v>
      </c>
      <c r="C11" s="230" t="str">
        <f>VLOOKUP(AllocationTable9[[#This Row],[TRADE]],AllocationTable[[TRADE]:[SECTOR]],2,0)</f>
        <v>ENGINEERING &amp; CAPITAL GOODS</v>
      </c>
      <c r="D11" s="200">
        <v>250</v>
      </c>
      <c r="E11" s="201">
        <v>281.8</v>
      </c>
      <c r="F11" s="201">
        <f>VLOOKUP(AllocationTable9[[#This Row],[TRADE]],LatestDump!A:I,4,0)</f>
        <v>411.1</v>
      </c>
      <c r="G11" s="203">
        <f>AllocationTable9[[#This Row],[EA]]-AllocationTable9[[#This Row],[AA]]</f>
        <v>-20450</v>
      </c>
      <c r="H11" s="224">
        <f>(AllocationTable9[[#This Row],[QNT]]*AllocationTable9[[#This Row],[LTP]])-(AllocationTable9[[#This Row],[QNT]]*AllocationTable9[[#This Row],[AVG.]])</f>
        <v>32325</v>
      </c>
      <c r="I11" s="204">
        <f>IFERROR(AllocationTable9[[#This Row],[PROFIT]]/AllocationTable9[[#This Row],[AA]],0)</f>
        <v>0.45883605393896382</v>
      </c>
      <c r="J11" s="199">
        <f>AllocationTable9[[#This Row],[QNT]]*AllocationTable9[[#This Row],[LTP]]</f>
        <v>102775</v>
      </c>
      <c r="K11" s="205">
        <f>AllocationTable9[[#This Row],[EA]]/AllocationTable9[[#Totals],[EA]]</f>
        <v>3.90625E-2</v>
      </c>
      <c r="L11" s="205">
        <f>AllocationTable9[[#This Row],[AA]]/AllocationTable9[[#Totals],[AA]]</f>
        <v>5.7382316464249093E-2</v>
      </c>
      <c r="M11" s="202">
        <v>50000</v>
      </c>
      <c r="N11" s="201">
        <f>AllocationTable9[[#This Row],[QNT]]*AllocationTable9[[#This Row],[AVG.]]</f>
        <v>70450</v>
      </c>
      <c r="O11" s="206" t="s">
        <v>200</v>
      </c>
    </row>
    <row r="12" spans="1:15" ht="15.75" thickBot="1" x14ac:dyDescent="0.3">
      <c r="A12" s="476" t="s">
        <v>80</v>
      </c>
      <c r="B12" s="146" t="s">
        <v>351</v>
      </c>
      <c r="C12" s="200" t="str">
        <f>VLOOKUP(AllocationTable9[[#This Row],[TRADE]],AllocationTable[[TRADE]:[SECTOR]],2,0)</f>
        <v>Gold</v>
      </c>
      <c r="D12" s="200">
        <v>1400</v>
      </c>
      <c r="E12" s="201">
        <v>85.29</v>
      </c>
      <c r="F12" s="201">
        <f>VLOOKUP(AllocationTable9[[#This Row],[TRADE]],LatestDump!A:I,4,0)</f>
        <v>123.55</v>
      </c>
      <c r="G12" s="203">
        <f>AllocationTable9[[#This Row],[EA]]-AllocationTable9[[#This Row],[AA]]</f>
        <v>30593.999999999985</v>
      </c>
      <c r="H12" s="232">
        <f>(AllocationTable9[[#This Row],[QNT]]*AllocationTable9[[#This Row],[LTP]])-(AllocationTable9[[#This Row],[QNT]]*AllocationTable9[[#This Row],[AVG.]])</f>
        <v>53563.999999999985</v>
      </c>
      <c r="I12" s="204">
        <f>IFERROR(AllocationTable9[[#This Row],[PROFIT]]/AllocationTable9[[#This Row],[AA]],0)</f>
        <v>0.4485871731738772</v>
      </c>
      <c r="J12" s="199">
        <f>AllocationTable9[[#This Row],[QNT]]*AllocationTable9[[#This Row],[LTP]]</f>
        <v>172970</v>
      </c>
      <c r="K12" s="205">
        <f>AllocationTable9[[#This Row],[EA]]/AllocationTable9[[#Totals],[EA]]</f>
        <v>0.1171875</v>
      </c>
      <c r="L12" s="205">
        <f>AllocationTable9[[#This Row],[AA]]/AllocationTable9[[#Totals],[AA]]</f>
        <v>9.7257528456069942E-2</v>
      </c>
      <c r="M12" s="202">
        <v>150000</v>
      </c>
      <c r="N12" s="201">
        <f>AllocationTable9[[#This Row],[QNT]]*AllocationTable9[[#This Row],[AVG.]]</f>
        <v>119406.00000000001</v>
      </c>
      <c r="O12" s="206" t="s">
        <v>199</v>
      </c>
    </row>
    <row r="13" spans="1:15" ht="15.75" thickBot="1" x14ac:dyDescent="0.3">
      <c r="A13" s="473" t="s">
        <v>101</v>
      </c>
      <c r="B13" s="146" t="s">
        <v>42</v>
      </c>
      <c r="C13" s="200" t="str">
        <f>VLOOKUP(AllocationTable9[[#This Row],[TRADE]],AllocationTable[[TRADE]:[SECTOR]],2,0)</f>
        <v>SOFTWARE SERVICES</v>
      </c>
      <c r="D13" s="200">
        <v>25</v>
      </c>
      <c r="E13" s="201">
        <v>2456.64</v>
      </c>
      <c r="F13" s="201">
        <f>VLOOKUP(AllocationTable9[[#This Row],[TRADE]],LatestDump!A:I,4,0)</f>
        <v>3346.2</v>
      </c>
      <c r="G13" s="203">
        <f>AllocationTable9[[#This Row],[EA]]-AllocationTable9[[#This Row],[AA]]</f>
        <v>-11416</v>
      </c>
      <c r="H13" s="232">
        <f>(AllocationTable9[[#This Row],[QNT]]*AllocationTable9[[#This Row],[LTP]])-(AllocationTable9[[#This Row],[QNT]]*AllocationTable9[[#This Row],[AVG.]])</f>
        <v>22239</v>
      </c>
      <c r="I13" s="204">
        <f>IFERROR(AllocationTable9[[#This Row],[PROFIT]]/AllocationTable9[[#This Row],[AA]],0)</f>
        <v>0.36210433763188743</v>
      </c>
      <c r="J13" s="199">
        <f>AllocationTable9[[#This Row],[QNT]]*AllocationTable9[[#This Row],[LTP]]</f>
        <v>83655</v>
      </c>
      <c r="K13" s="205">
        <f>AllocationTable9[[#This Row],[EA]]/AllocationTable9[[#Totals],[EA]]</f>
        <v>3.90625E-2</v>
      </c>
      <c r="L13" s="205">
        <f>AllocationTable9[[#This Row],[AA]]/AllocationTable9[[#Totals],[AA]]</f>
        <v>5.0024021972580865E-2</v>
      </c>
      <c r="M13" s="202">
        <v>50000</v>
      </c>
      <c r="N13" s="201">
        <f>AllocationTable9[[#This Row],[QNT]]*AllocationTable9[[#This Row],[AVG.]]</f>
        <v>61416</v>
      </c>
      <c r="O13" s="206" t="s">
        <v>200</v>
      </c>
    </row>
    <row r="14" spans="1:15" ht="15.75" thickBot="1" x14ac:dyDescent="0.3">
      <c r="A14" s="474" t="s">
        <v>114</v>
      </c>
      <c r="B14" s="145" t="s">
        <v>42</v>
      </c>
      <c r="C14" s="230" t="str">
        <f>VLOOKUP(AllocationTable9[[#This Row],[TRADE]],AllocationTable[[TRADE]:[SECTOR]],2,0)</f>
        <v>ENERGY</v>
      </c>
      <c r="D14" s="200">
        <v>300</v>
      </c>
      <c r="E14" s="201">
        <v>302.33</v>
      </c>
      <c r="F14" s="201">
        <f>VLOOKUP(AllocationTable9[[#This Row],[TRADE]],LatestDump!A:I,4,0)</f>
        <v>399.5</v>
      </c>
      <c r="G14" s="203">
        <f>AllocationTable9[[#This Row],[EA]]-AllocationTable9[[#This Row],[AA]]</f>
        <v>-699</v>
      </c>
      <c r="H14" s="224">
        <f>(AllocationTable9[[#This Row],[QNT]]*AllocationTable9[[#This Row],[LTP]])-(AllocationTable9[[#This Row],[QNT]]*AllocationTable9[[#This Row],[AVG.]])</f>
        <v>29151</v>
      </c>
      <c r="I14" s="204">
        <f>IFERROR(AllocationTable9[[#This Row],[PROFIT]]/AllocationTable9[[#This Row],[AA]],0)</f>
        <v>0.32140376409883242</v>
      </c>
      <c r="J14" s="199">
        <f>AllocationTable9[[#This Row],[QNT]]*AllocationTable9[[#This Row],[LTP]]</f>
        <v>119850</v>
      </c>
      <c r="K14" s="205">
        <f>AllocationTable9[[#This Row],[EA]]/AllocationTable9[[#Totals],[EA]]</f>
        <v>7.03125E-2</v>
      </c>
      <c r="L14" s="205">
        <f>AllocationTable9[[#This Row],[AA]]/AllocationTable9[[#Totals],[AA]]</f>
        <v>7.3875354449835742E-2</v>
      </c>
      <c r="M14" s="202">
        <v>90000</v>
      </c>
      <c r="N14" s="201">
        <f>AllocationTable9[[#This Row],[QNT]]*AllocationTable9[[#This Row],[AVG.]]</f>
        <v>90699</v>
      </c>
      <c r="O14" s="206" t="s">
        <v>199</v>
      </c>
    </row>
    <row r="15" spans="1:15" ht="15.75" thickBot="1" x14ac:dyDescent="0.3">
      <c r="A15" s="475" t="s">
        <v>92</v>
      </c>
      <c r="B15" s="146" t="s">
        <v>42</v>
      </c>
      <c r="C15" s="200" t="str">
        <f>VLOOKUP(AllocationTable9[[#This Row],[TRADE]],AllocationTable[[TRADE]:[SECTOR]],2,0)</f>
        <v>FINANCIAL SERVICES</v>
      </c>
      <c r="D15" s="200">
        <v>200</v>
      </c>
      <c r="E15" s="201">
        <v>255.74</v>
      </c>
      <c r="F15" s="201">
        <f>VLOOKUP(AllocationTable9[[#This Row],[TRADE]],LatestDump!A:I,4,0)</f>
        <v>243.25</v>
      </c>
      <c r="G15" s="203">
        <f>AllocationTable9[[#This Row],[EA]]-AllocationTable9[[#This Row],[AA]]</f>
        <v>-1148</v>
      </c>
      <c r="H15" s="232">
        <f>(AllocationTable9[[#This Row],[QNT]]*AllocationTable9[[#This Row],[LTP]])-(AllocationTable9[[#This Row],[QNT]]*AllocationTable9[[#This Row],[AVG.]])</f>
        <v>-2498</v>
      </c>
      <c r="I15" s="204">
        <f>IFERROR(AllocationTable9[[#This Row],[PROFIT]]/AllocationTable9[[#This Row],[AA]],0)</f>
        <v>-4.8838664268397593E-2</v>
      </c>
      <c r="J15" s="199">
        <f>AllocationTable9[[#This Row],[QNT]]*AllocationTable9[[#This Row],[LTP]]</f>
        <v>48650</v>
      </c>
      <c r="K15" s="205">
        <f>AllocationTable9[[#This Row],[EA]]/AllocationTable9[[#Totals],[EA]]</f>
        <v>3.90625E-2</v>
      </c>
      <c r="L15" s="205">
        <f>AllocationTable9[[#This Row],[AA]]/AllocationTable9[[#Totals],[AA]]</f>
        <v>4.1660620617649573E-2</v>
      </c>
      <c r="M15" s="202">
        <v>50000</v>
      </c>
      <c r="N15" s="201">
        <f>AllocationTable9[[#This Row],[QNT]]*AllocationTable9[[#This Row],[AVG.]]</f>
        <v>51148</v>
      </c>
      <c r="O15" s="206" t="s">
        <v>200</v>
      </c>
    </row>
    <row r="16" spans="1:15" ht="15.75" thickBot="1" x14ac:dyDescent="0.3">
      <c r="A16" s="146" t="s">
        <v>201</v>
      </c>
      <c r="B16" s="146" t="s">
        <v>42</v>
      </c>
      <c r="C16" s="230" t="str">
        <f>VLOOKUP(AllocationTable9[[#This Row],[TRADE]],AllocationTable[[TRADE]:[SECTOR]],2,0)</f>
        <v>ENGINEERING &amp; CAPITAL GOODS</v>
      </c>
      <c r="D16" s="200">
        <v>325</v>
      </c>
      <c r="E16" s="201">
        <v>293.51</v>
      </c>
      <c r="F16" s="201">
        <f>VLOOKUP(AllocationTable9[[#This Row],[TRADE]],LatestDump!A:I,4,0)</f>
        <v>275.10000000000002</v>
      </c>
      <c r="G16" s="203">
        <f>AllocationTable9[[#This Row],[EA]]-AllocationTable9[[#This Row],[AA]]</f>
        <v>4609.25</v>
      </c>
      <c r="H16" s="224">
        <f>(AllocationTable9[[#This Row],[QNT]]*AllocationTable9[[#This Row],[LTP]])-(AllocationTable9[[#This Row],[QNT]]*AllocationTable9[[#This Row],[AVG.]])</f>
        <v>-5983.2499999999854</v>
      </c>
      <c r="I16" s="204">
        <f>IFERROR(AllocationTable9[[#This Row],[PROFIT]]/AllocationTable9[[#This Row],[AA]],0)</f>
        <v>-6.2723586930598471E-2</v>
      </c>
      <c r="J16" s="199">
        <f>AllocationTable9[[#This Row],[QNT]]*AllocationTable9[[#This Row],[LTP]]</f>
        <v>89407.500000000015</v>
      </c>
      <c r="K16" s="205">
        <f>AllocationTable9[[#This Row],[EA]]/AllocationTable9[[#Totals],[EA]]</f>
        <v>7.8125E-2</v>
      </c>
      <c r="L16" s="205">
        <f>AllocationTable9[[#This Row],[AA]]/AllocationTable9[[#Totals],[AA]]</f>
        <v>7.7696837533883165E-2</v>
      </c>
      <c r="M16" s="202">
        <v>100000</v>
      </c>
      <c r="N16" s="201">
        <f>AllocationTable9[[#This Row],[QNT]]*AllocationTable9[[#This Row],[AVG.]]</f>
        <v>95390.75</v>
      </c>
      <c r="O16" s="206" t="s">
        <v>199</v>
      </c>
    </row>
    <row r="17" spans="1:15" ht="15.75" thickBot="1" x14ac:dyDescent="0.3">
      <c r="A17" s="134" t="s">
        <v>198</v>
      </c>
      <c r="B17" s="134" t="s">
        <v>42</v>
      </c>
      <c r="C17" s="230" t="str">
        <f>VLOOKUP(AllocationTable9[[#This Row],[TRADE]],AllocationTable[[TRADE]:[SECTOR]],2,0)</f>
        <v>TOURISM &amp; HOSPITALITY</v>
      </c>
      <c r="D17" s="200">
        <v>70</v>
      </c>
      <c r="E17" s="201">
        <v>692.81</v>
      </c>
      <c r="F17" s="201">
        <f>VLOOKUP(AllocationTable9[[#This Row],[TRADE]],LatestDump!A:I,4,0)</f>
        <v>641.5</v>
      </c>
      <c r="G17" s="203">
        <f>AllocationTable9[[#This Row],[EA]]-AllocationTable9[[#This Row],[AA]]</f>
        <v>1503.3000000000029</v>
      </c>
      <c r="H17" s="224">
        <f>(AllocationTable9[[#This Row],[QNT]]*AllocationTable9[[#This Row],[LTP]])-(AllocationTable9[[#This Row],[QNT]]*AllocationTable9[[#This Row],[AVG.]])</f>
        <v>-3591.6999999999971</v>
      </c>
      <c r="I17" s="204">
        <f>IFERROR(AllocationTable9[[#This Row],[PROFIT]]/AllocationTable9[[#This Row],[AA]],0)</f>
        <v>-7.4060709285374005E-2</v>
      </c>
      <c r="J17" s="199">
        <f>AllocationTable9[[#This Row],[QNT]]*AllocationTable9[[#This Row],[LTP]]</f>
        <v>44905</v>
      </c>
      <c r="K17" s="205">
        <f>AllocationTable9[[#This Row],[EA]]/AllocationTable9[[#Totals],[EA]]</f>
        <v>3.90625E-2</v>
      </c>
      <c r="L17" s="205">
        <f>AllocationTable9[[#This Row],[AA]]/AllocationTable9[[#Totals],[AA]]</f>
        <v>3.950110698185591E-2</v>
      </c>
      <c r="M17" s="202">
        <v>50000</v>
      </c>
      <c r="N17" s="201">
        <f>AllocationTable9[[#This Row],[QNT]]*AllocationTable9[[#This Row],[AVG.]]</f>
        <v>48496.7</v>
      </c>
      <c r="O17" s="206" t="s">
        <v>199</v>
      </c>
    </row>
    <row r="18" spans="1:15" ht="15" customHeight="1" thickBot="1" x14ac:dyDescent="0.3">
      <c r="A18" s="135"/>
      <c r="B18" s="135"/>
      <c r="C18" s="229"/>
      <c r="D18" s="136">
        <f>SUBTOTAL(109,AllocationTable9[QNT])</f>
        <v>4611</v>
      </c>
      <c r="E18" s="136">
        <f>SUBTOTAL(101,AllocationTable9[AVG.])</f>
        <v>771.364375</v>
      </c>
      <c r="F18" s="136"/>
      <c r="G18" s="148">
        <f>SUBTOTAL(109,AllocationTable9[Available Quota])</f>
        <v>52269.849999999984</v>
      </c>
      <c r="H18" s="233">
        <f>SUBTOTAL(109,AllocationTable9[PROFIT])</f>
        <v>832753.04999999993</v>
      </c>
      <c r="I18" s="154">
        <f>SUBTOTAL(101,AllocationTable9[PROFIT%])</f>
        <v>0.76206633819923786</v>
      </c>
      <c r="J18" s="140">
        <f>SUBTOTAL(109,AllocationTable9[CURRENT VALUE])</f>
        <v>2060483.2</v>
      </c>
      <c r="K18" s="154">
        <f>SUBTOTAL(109,AllocationTable9[EA%])</f>
        <v>1</v>
      </c>
      <c r="L18" s="154">
        <f>SUBTOTAL(109,AllocationTable9[AA%])</f>
        <v>1</v>
      </c>
      <c r="M18" s="153">
        <f>SUBTOTAL(109,AllocationTable9[EA])</f>
        <v>1280000</v>
      </c>
      <c r="N18" s="153">
        <f>SUBTOTAL(109,AllocationTable9[AA])</f>
        <v>1227730.1499999999</v>
      </c>
      <c r="O18" s="155"/>
    </row>
    <row r="19" spans="1:15" ht="15" customHeight="1" thickBot="1" x14ac:dyDescent="0.3">
      <c r="A19" s="453" t="s">
        <v>80</v>
      </c>
    </row>
    <row r="20" spans="1:15" ht="15" customHeight="1" thickBot="1" x14ac:dyDescent="0.3">
      <c r="A20" s="453" t="s">
        <v>213</v>
      </c>
    </row>
    <row r="21" spans="1:15" ht="15" customHeight="1" thickBot="1" x14ac:dyDescent="0.3">
      <c r="A21" s="453" t="s">
        <v>137</v>
      </c>
    </row>
    <row r="22" spans="1:15" ht="15" customHeight="1" thickBot="1" x14ac:dyDescent="0.3">
      <c r="A22" s="453" t="s">
        <v>35</v>
      </c>
    </row>
    <row r="23" spans="1:15" ht="15" customHeight="1" thickBot="1" x14ac:dyDescent="0.3">
      <c r="A23" s="454" t="s">
        <v>125</v>
      </c>
    </row>
    <row r="24" spans="1:15" ht="15" customHeight="1" thickBot="1" x14ac:dyDescent="0.3">
      <c r="A24" s="454" t="s">
        <v>126</v>
      </c>
    </row>
    <row r="25" spans="1:15" ht="15" customHeight="1" thickBot="1" x14ac:dyDescent="0.3">
      <c r="A25" s="454" t="s">
        <v>130</v>
      </c>
    </row>
    <row r="26" spans="1:15" ht="15" customHeight="1" thickBot="1" x14ac:dyDescent="0.3">
      <c r="A26" s="454" t="s">
        <v>134</v>
      </c>
    </row>
    <row r="27" spans="1:15" ht="15" customHeight="1" thickBot="1" x14ac:dyDescent="0.3">
      <c r="A27" s="454" t="s">
        <v>212</v>
      </c>
    </row>
    <row r="28" spans="1:15" ht="15" customHeight="1" thickBot="1" x14ac:dyDescent="0.3">
      <c r="A28" s="454" t="s">
        <v>131</v>
      </c>
    </row>
    <row r="29" spans="1:15" ht="15" customHeight="1" thickBot="1" x14ac:dyDescent="0.3">
      <c r="A29" s="454" t="s">
        <v>128</v>
      </c>
    </row>
    <row r="30" spans="1:15" ht="15" customHeight="1" thickBot="1" x14ac:dyDescent="0.3">
      <c r="A30" s="454" t="s">
        <v>129</v>
      </c>
    </row>
    <row r="31" spans="1:15" ht="15" customHeight="1" thickBot="1" x14ac:dyDescent="0.3">
      <c r="A31" s="454" t="s">
        <v>133</v>
      </c>
    </row>
    <row r="32" spans="1:15" ht="15" customHeight="1" thickBot="1" x14ac:dyDescent="0.3">
      <c r="A32" s="454" t="s">
        <v>135</v>
      </c>
    </row>
    <row r="33" spans="1:1" ht="15" customHeight="1" thickBot="1" x14ac:dyDescent="0.3">
      <c r="A33" s="454" t="s">
        <v>127</v>
      </c>
    </row>
    <row r="34" spans="1:1" ht="15" customHeight="1" thickBot="1" x14ac:dyDescent="0.3">
      <c r="A34" s="454" t="s">
        <v>258</v>
      </c>
    </row>
    <row r="35" spans="1:1" ht="15" customHeight="1" thickBot="1" x14ac:dyDescent="0.3">
      <c r="A35" s="454" t="s">
        <v>136</v>
      </c>
    </row>
    <row r="36" spans="1:1" ht="15" customHeight="1" thickBot="1" x14ac:dyDescent="0.3">
      <c r="A36" s="454" t="s">
        <v>132</v>
      </c>
    </row>
    <row r="37" spans="1:1" ht="15" customHeight="1" thickBot="1" x14ac:dyDescent="0.3">
      <c r="A37" s="455" t="s">
        <v>41</v>
      </c>
    </row>
    <row r="38" spans="1:1" ht="15" customHeight="1" thickBot="1" x14ac:dyDescent="0.3">
      <c r="A38" s="455" t="s">
        <v>40</v>
      </c>
    </row>
    <row r="39" spans="1:1" ht="15" customHeight="1" thickBot="1" x14ac:dyDescent="0.3">
      <c r="A39" s="456" t="s">
        <v>143</v>
      </c>
    </row>
    <row r="40" spans="1:1" ht="15" customHeight="1" thickBot="1" x14ac:dyDescent="0.3">
      <c r="A40" s="456" t="s">
        <v>149</v>
      </c>
    </row>
    <row r="41" spans="1:1" ht="15" customHeight="1" thickBot="1" x14ac:dyDescent="0.3">
      <c r="A41" s="456" t="s">
        <v>38</v>
      </c>
    </row>
  </sheetData>
  <conditionalFormatting sqref="G2:G17">
    <cfRule type="expression" dxfId="36" priority="30" stopIfTrue="1">
      <formula>AND($G2&gt;0,$G2&lt;$E2)</formula>
    </cfRule>
    <cfRule type="expression" dxfId="35" priority="31" stopIfTrue="1">
      <formula>$G2&lt;0</formula>
    </cfRule>
    <cfRule type="expression" dxfId="34" priority="32" stopIfTrue="1">
      <formula>$G2&gt;$E2</formula>
    </cfRule>
  </conditionalFormatting>
  <conditionalFormatting sqref="H2:H17">
    <cfRule type="cellIs" dxfId="33" priority="6" operator="between">
      <formula>-5000</formula>
      <formula>10000</formula>
    </cfRule>
    <cfRule type="cellIs" dxfId="32" priority="7" operator="lessThan">
      <formula>-5000</formula>
    </cfRule>
    <cfRule type="cellIs" dxfId="31" priority="8" operator="greaterThan">
      <formula>10000</formula>
    </cfRule>
  </conditionalFormatting>
  <conditionalFormatting sqref="I2:I4">
    <cfRule type="cellIs" dxfId="30" priority="9" stopIfTrue="1" operator="between">
      <formula>-0.45</formula>
      <formula>0.45</formula>
    </cfRule>
    <cfRule type="cellIs" dxfId="29" priority="10" stopIfTrue="1" operator="lessThan">
      <formula>-0.45</formula>
    </cfRule>
    <cfRule type="cellIs" dxfId="28" priority="11" stopIfTrue="1" operator="greaterThan">
      <formula>0.45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B65F-CE9B-4800-8716-3B9DB1FBF654}">
  <sheetPr>
    <tabColor rgb="FF009900"/>
  </sheetPr>
  <dimension ref="A1:AD115"/>
  <sheetViews>
    <sheetView zoomScale="90" zoomScaleNormal="90" workbookViewId="0">
      <pane xSplit="1" topLeftCell="B1" activePane="topRight" state="frozen"/>
      <selection activeCell="A47" sqref="A47"/>
      <selection pane="topRight" activeCell="A94" sqref="A94"/>
    </sheetView>
  </sheetViews>
  <sheetFormatPr defaultColWidth="8.85546875" defaultRowHeight="15" customHeight="1" x14ac:dyDescent="0.25"/>
  <cols>
    <col min="1" max="1" width="14.28515625" style="239" customWidth="1"/>
    <col min="2" max="2" width="17.42578125" style="239" customWidth="1"/>
    <col min="3" max="3" width="12" style="239" customWidth="1"/>
    <col min="4" max="4" width="10.28515625" style="239" customWidth="1"/>
    <col min="5" max="5" width="9.7109375" bestFit="1" customWidth="1"/>
    <col min="6" max="6" width="11.42578125" bestFit="1" customWidth="1"/>
    <col min="7" max="7" width="9.5703125" bestFit="1" customWidth="1"/>
    <col min="8" max="8" width="10" bestFit="1" customWidth="1"/>
    <col min="9" max="9" width="12.140625" customWidth="1"/>
    <col min="10" max="10" width="10.140625" customWidth="1"/>
    <col min="11" max="11" width="8.42578125" customWidth="1"/>
    <col min="12" max="14" width="15.5703125" customWidth="1"/>
    <col min="15" max="15" width="12.140625" bestFit="1" customWidth="1"/>
    <col min="16" max="16" width="13.5703125" bestFit="1" customWidth="1"/>
    <col min="17" max="17" width="20.28515625" customWidth="1"/>
    <col min="18" max="18" width="13" customWidth="1"/>
    <col min="19" max="19" width="9.85546875" customWidth="1"/>
    <col min="20" max="20" width="9.85546875" bestFit="1" customWidth="1"/>
    <col min="21" max="21" width="10.42578125" customWidth="1"/>
    <col min="22" max="22" width="10.140625" bestFit="1" customWidth="1"/>
    <col min="23" max="23" width="10.42578125" bestFit="1" customWidth="1"/>
    <col min="24" max="24" width="10.28515625" bestFit="1" customWidth="1"/>
    <col min="25" max="25" width="9.7109375" bestFit="1" customWidth="1"/>
    <col min="26" max="26" width="15" bestFit="1" customWidth="1"/>
    <col min="27" max="27" width="15.28515625" bestFit="1" customWidth="1"/>
    <col min="28" max="28" width="12.85546875" bestFit="1" customWidth="1"/>
    <col min="29" max="29" width="13.85546875" bestFit="1" customWidth="1"/>
    <col min="30" max="30" width="26.7109375" bestFit="1" customWidth="1"/>
  </cols>
  <sheetData>
    <row r="1" spans="1:30" ht="34.5" customHeight="1" x14ac:dyDescent="0.25">
      <c r="A1" s="328" t="s">
        <v>179</v>
      </c>
      <c r="B1" s="329" t="s">
        <v>180</v>
      </c>
      <c r="C1" s="329" t="s">
        <v>181</v>
      </c>
      <c r="D1" s="329" t="s">
        <v>264</v>
      </c>
      <c r="E1" s="330" t="s">
        <v>182</v>
      </c>
      <c r="F1" s="330" t="s">
        <v>183</v>
      </c>
      <c r="G1" s="330" t="s">
        <v>54</v>
      </c>
      <c r="H1" s="331" t="s">
        <v>184</v>
      </c>
      <c r="I1" s="332" t="s">
        <v>185</v>
      </c>
      <c r="J1" s="332" t="s">
        <v>186</v>
      </c>
      <c r="K1" s="332" t="s">
        <v>322</v>
      </c>
      <c r="L1" s="333" t="s">
        <v>187</v>
      </c>
      <c r="M1" s="334" t="s">
        <v>188</v>
      </c>
      <c r="N1" s="335" t="s">
        <v>189</v>
      </c>
      <c r="O1" s="336" t="s">
        <v>190</v>
      </c>
      <c r="P1" s="336" t="s">
        <v>191</v>
      </c>
      <c r="Q1" s="140" t="s">
        <v>192</v>
      </c>
      <c r="R1" s="140" t="s">
        <v>298</v>
      </c>
      <c r="S1" s="140" t="s">
        <v>300</v>
      </c>
      <c r="T1" s="337" t="s">
        <v>193</v>
      </c>
      <c r="U1" s="338" t="s">
        <v>195</v>
      </c>
      <c r="V1" s="337" t="s">
        <v>194</v>
      </c>
      <c r="W1" s="338" t="s">
        <v>196</v>
      </c>
      <c r="X1" s="339" t="s">
        <v>299</v>
      </c>
      <c r="Y1" s="327" t="s">
        <v>305</v>
      </c>
      <c r="Z1" s="327" t="s">
        <v>306</v>
      </c>
      <c r="AA1" s="327" t="s">
        <v>307</v>
      </c>
      <c r="AB1" s="327" t="s">
        <v>320</v>
      </c>
      <c r="AC1" s="327" t="s">
        <v>308</v>
      </c>
      <c r="AD1" s="327" t="s">
        <v>309</v>
      </c>
    </row>
    <row r="2" spans="1:30" x14ac:dyDescent="0.25">
      <c r="A2" s="370" t="s">
        <v>149</v>
      </c>
      <c r="B2" s="371" t="s">
        <v>36</v>
      </c>
      <c r="C2" s="370" t="s">
        <v>149</v>
      </c>
      <c r="D2" s="370" t="s">
        <v>318</v>
      </c>
      <c r="E2" s="359">
        <f ca="1">_xlfn.IFNA(VLOOKUP(AllocationTable[[#This Row],[TRADE]],LatestDump!A:H,2,FALSE),0) + (_xlfn.IFNA(VLOOKUP(AllocationTable[[#This Row],[TRADE]],LongTerm!A:D,4,0),0))</f>
        <v>160</v>
      </c>
      <c r="F2" s="360">
        <f ca="1">IFERROR(
   (
     _xlfn.IFNA(VLOOKUP(AllocationTable[[#This Row],[TRADE]],LatestDump!A:H,5,FALSE),0) +
     _xlfn.IFNA(VLOOKUP(AllocationTable[[#This Row],[TRADE]],AllocationTable9[[TRADE]:[AA]],14,0),0)
   ) / AllocationTable[[#This Row],[QNT]],
0)</f>
        <v>12081.25</v>
      </c>
      <c r="G2" s="360">
        <f ca="1">_xlfn.IFNA(ROUND(VLOOKUP(AllocationTable[[#This Row],[TRADE]],LatestDump!A:H,4,FALSE),2),0)</f>
        <v>15990.89</v>
      </c>
      <c r="H2" s="346"/>
      <c r="I2" s="361">
        <f ca="1">AllocationTable[[#This Row],[EA]]-AllocationTable[[#This Row],[AA]]</f>
        <v>76200</v>
      </c>
      <c r="J2" s="346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2" s="346"/>
      <c r="L2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SIP</v>
      </c>
      <c r="M2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SIP</v>
      </c>
      <c r="N2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SIP</v>
      </c>
      <c r="O2" s="363">
        <f ca="1">AllocationTable[[#This Row],[CURRENT VALUE]]-AllocationTable[[#This Row],[AA]]</f>
        <v>625542.39999999991</v>
      </c>
      <c r="P2" s="364">
        <f ca="1">IFERROR(AllocationTable[[#This Row],[PROFIT]]/AllocationTable[[#This Row],[AA]],0)</f>
        <v>0.32361220900155196</v>
      </c>
      <c r="Q2" s="372">
        <f ca="1">AllocationTable[[#This Row],[QNT]]*AllocationTable[[#This Row],[LTP]]</f>
        <v>2558542.4</v>
      </c>
      <c r="R2" s="372">
        <v>1853200</v>
      </c>
      <c r="S2" s="372">
        <v>26000</v>
      </c>
      <c r="T2" s="366">
        <v>0</v>
      </c>
      <c r="U2" s="361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2009200</v>
      </c>
      <c r="V2" s="367">
        <f ca="1">AllocationTable[[#This Row],[AA]]/AllocationTable[[#Totals],[AA]]</f>
        <v>0.22376589148925602</v>
      </c>
      <c r="W2" s="360">
        <f ca="1">AllocationTable[[#This Row],[QNT]]*AllocationTable[[#This Row],[AVG.]]</f>
        <v>1933000</v>
      </c>
      <c r="X2" s="359">
        <v>0</v>
      </c>
      <c r="Y2" s="359" t="s">
        <v>301</v>
      </c>
      <c r="Z2" s="359" t="s">
        <v>301</v>
      </c>
      <c r="AA2" s="359" t="s">
        <v>301</v>
      </c>
      <c r="AB2" s="359" t="s">
        <v>301</v>
      </c>
      <c r="AC2" s="359" t="s">
        <v>301</v>
      </c>
      <c r="AD2" s="359" t="s">
        <v>301</v>
      </c>
    </row>
    <row r="3" spans="1:30" x14ac:dyDescent="0.25">
      <c r="A3" s="340" t="s">
        <v>213</v>
      </c>
      <c r="B3" s="341" t="s">
        <v>140</v>
      </c>
      <c r="C3" s="341" t="s">
        <v>140</v>
      </c>
      <c r="D3" s="341" t="s">
        <v>140</v>
      </c>
      <c r="E3" s="342">
        <f>_xlfn.IFNA(VLOOKUP(AllocationTable[[#This Row],[TRADE]],LatestDump!A:H,2,FALSE),0) + (_xlfn.IFNA(VLOOKUP(AllocationTable[[#This Row],[TRADE]],LongTerm!A:D,4,0),0))</f>
        <v>5.5</v>
      </c>
      <c r="F3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9500</v>
      </c>
      <c r="G3" s="343">
        <f>_xlfn.IFNA(ROUND(VLOOKUP(AllocationTable[[#This Row],[TRADE]],LatestDump!A:H,4,FALSE),2),0)</f>
        <v>14010</v>
      </c>
      <c r="H3" s="344">
        <v>15585</v>
      </c>
      <c r="I3" s="345">
        <f ca="1">AllocationTable[[#This Row],[EA]]-AllocationTable[[#This Row],[AA]]</f>
        <v>12000</v>
      </c>
      <c r="J3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3" s="344"/>
      <c r="L3" s="347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SIP</v>
      </c>
      <c r="M3" s="343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SIP</v>
      </c>
      <c r="N3" s="347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SIP</v>
      </c>
      <c r="O3" s="348">
        <f>AllocationTable[[#This Row],[CURRENT VALUE]]-AllocationTable[[#This Row],[AA]]</f>
        <v>24805</v>
      </c>
      <c r="P3" s="349">
        <f>IFERROR(AllocationTable[[#This Row],[PROFIT]]/AllocationTable[[#This Row],[AA]],0)</f>
        <v>0.47473684210526318</v>
      </c>
      <c r="Q3" s="350">
        <f>AllocationTable[[#This Row],[QNT]]*AllocationTable[[#This Row],[LTP]]</f>
        <v>77055</v>
      </c>
      <c r="R3" s="350">
        <v>52250</v>
      </c>
      <c r="S3" s="350">
        <v>2000</v>
      </c>
      <c r="T3" s="351">
        <v>0</v>
      </c>
      <c r="U3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64250</v>
      </c>
      <c r="V3" s="352">
        <f ca="1">AllocationTable[[#This Row],[AA]]/AllocationTable[[#Totals],[AA]]</f>
        <v>6.0485089655011011E-3</v>
      </c>
      <c r="W3" s="343">
        <f>AllocationTable[[#This Row],[QNT]]*AllocationTable[[#This Row],[AVG.]]</f>
        <v>52250</v>
      </c>
      <c r="X3" s="342">
        <v>0</v>
      </c>
      <c r="Y3" s="342" t="s">
        <v>301</v>
      </c>
      <c r="Z3" s="342" t="s">
        <v>301</v>
      </c>
      <c r="AA3" s="342" t="s">
        <v>301</v>
      </c>
      <c r="AB3" s="342" t="s">
        <v>301</v>
      </c>
      <c r="AC3" s="342" t="s">
        <v>301</v>
      </c>
      <c r="AD3" s="342" t="s">
        <v>301</v>
      </c>
    </row>
    <row r="4" spans="1:30" x14ac:dyDescent="0.25">
      <c r="A4" s="340" t="s">
        <v>80</v>
      </c>
      <c r="B4" s="341" t="s">
        <v>140</v>
      </c>
      <c r="C4" s="341" t="s">
        <v>242</v>
      </c>
      <c r="D4" s="341" t="s">
        <v>140</v>
      </c>
      <c r="E4" s="342">
        <f>_xlfn.IFNA(VLOOKUP(AllocationTable[[#This Row],[TRADE]],LatestDump!A:H,2,FALSE),0) + (_xlfn.IFNA(VLOOKUP(AllocationTable[[#This Row],[TRADE]],LongTerm!A:D,4,0),0))</f>
        <v>1451</v>
      </c>
      <c r="F4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86.418780151619572</v>
      </c>
      <c r="G4" s="343">
        <f>_xlfn.IFNA(ROUND(VLOOKUP(AllocationTable[[#This Row],[TRADE]],LatestDump!A:H,4,FALSE),2),0)</f>
        <v>123.55</v>
      </c>
      <c r="H4" s="344">
        <v>139</v>
      </c>
      <c r="I4" s="345">
        <f ca="1">AllocationTable[[#This Row],[EA]]-AllocationTable[[#This Row],[AA]]</f>
        <v>-13069.449999999997</v>
      </c>
      <c r="J4" s="346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4" s="346"/>
      <c r="L4" s="347" t="str">
        <f ca="1"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133 ,Qnt: -14</v>
      </c>
      <c r="M4" s="343" t="str">
        <f ca="1"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126 ,Qnt: -31</v>
      </c>
      <c r="N4" s="347" t="str">
        <f ca="1"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119 ,Qnt: -59</v>
      </c>
      <c r="O4" s="348">
        <f>AllocationTable[[#This Row],[CURRENT VALUE]]-AllocationTable[[#This Row],[AA]]</f>
        <v>53877.399999999994</v>
      </c>
      <c r="P4" s="349">
        <f>IFERROR(AllocationTable[[#This Row],[PROFIT]]/AllocationTable[[#This Row],[AA]],0)</f>
        <v>0.42966609553195073</v>
      </c>
      <c r="Q4" s="350">
        <f>AllocationTable[[#This Row],[QNT]]*AllocationTable[[#This Row],[LTP]]</f>
        <v>179271.05</v>
      </c>
      <c r="R4" s="350">
        <v>88324.2</v>
      </c>
      <c r="S4" s="350">
        <v>4000</v>
      </c>
      <c r="T4" s="351">
        <v>0</v>
      </c>
      <c r="U4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112324.2</v>
      </c>
      <c r="V4" s="352">
        <f ca="1">AllocationTable[[#This Row],[AA]]/AllocationTable[[#Totals],[AA]]</f>
        <v>1.451568643525181E-2</v>
      </c>
      <c r="W4" s="343">
        <f>AllocationTable[[#This Row],[QNT]]*AllocationTable[[#This Row],[AVG.]]</f>
        <v>125393.65</v>
      </c>
      <c r="X4" s="342">
        <v>5</v>
      </c>
      <c r="Y4" s="342" t="s">
        <v>301</v>
      </c>
      <c r="Z4" s="342" t="s">
        <v>301</v>
      </c>
      <c r="AA4" s="342" t="s">
        <v>301</v>
      </c>
      <c r="AB4" s="342" t="s">
        <v>301</v>
      </c>
      <c r="AC4" s="342" t="s">
        <v>301</v>
      </c>
      <c r="AD4" s="342" t="s">
        <v>301</v>
      </c>
    </row>
    <row r="5" spans="1:30" x14ac:dyDescent="0.25">
      <c r="A5" s="340" t="s">
        <v>137</v>
      </c>
      <c r="B5" s="341" t="s">
        <v>140</v>
      </c>
      <c r="C5" s="341" t="s">
        <v>243</v>
      </c>
      <c r="D5" s="341" t="s">
        <v>140</v>
      </c>
      <c r="E5" s="342">
        <f>_xlfn.IFNA(VLOOKUP(AllocationTable[[#This Row],[TRADE]],LatestDump!A:H,2,FALSE),0) + (_xlfn.IFNA(VLOOKUP(AllocationTable[[#This Row],[TRADE]],LongTerm!A:D,4,0),0))</f>
        <v>1578.692</v>
      </c>
      <c r="F5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31.03681402072095</v>
      </c>
      <c r="G5" s="343">
        <f>_xlfn.IFNA(ROUND(VLOOKUP(AllocationTable[[#This Row],[TRADE]],LatestDump!A:H,4,FALSE),2),0)</f>
        <v>45.62</v>
      </c>
      <c r="H5" s="344">
        <v>52</v>
      </c>
      <c r="I5" s="345">
        <f ca="1">AllocationTable[[#This Row],[EA]]-AllocationTable[[#This Row],[AA]]</f>
        <v>8002.43</v>
      </c>
      <c r="J5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5" s="344"/>
      <c r="L5" s="347" t="str">
        <f ca="1"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50 ,Qnt: 25</v>
      </c>
      <c r="M5" s="343" t="str">
        <f ca="1"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47 ,Qnt: 53</v>
      </c>
      <c r="N5" s="347" t="str">
        <f ca="1"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45 ,Qnt: 99</v>
      </c>
      <c r="O5" s="348">
        <f>AllocationTable[[#This Row],[CURRENT VALUE]]-AllocationTable[[#This Row],[AA]]</f>
        <v>23022.359040000003</v>
      </c>
      <c r="P5" s="349">
        <f>IFERROR(AllocationTable[[#This Row],[PROFIT]]/AllocationTable[[#This Row],[AA]],0)</f>
        <v>0.4698673636264003</v>
      </c>
      <c r="Q5" s="350">
        <f>AllocationTable[[#This Row],[QNT]]*AllocationTable[[#This Row],[LTP]]</f>
        <v>72019.929040000003</v>
      </c>
      <c r="R5" s="350">
        <v>33000</v>
      </c>
      <c r="S5" s="350">
        <v>4000</v>
      </c>
      <c r="T5" s="351">
        <v>10</v>
      </c>
      <c r="U5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57000</v>
      </c>
      <c r="V5" s="352">
        <f ca="1">AllocationTable[[#This Row],[AA]]/AllocationTable[[#Totals],[AA]]</f>
        <v>5.6720046207228278E-3</v>
      </c>
      <c r="W5" s="343">
        <f>AllocationTable[[#This Row],[QNT]]*AllocationTable[[#This Row],[AVG.]]</f>
        <v>48997.57</v>
      </c>
      <c r="X5" s="342">
        <v>5</v>
      </c>
      <c r="Y5" s="342" t="s">
        <v>301</v>
      </c>
      <c r="Z5" s="342" t="s">
        <v>301</v>
      </c>
      <c r="AA5" s="342" t="s">
        <v>301</v>
      </c>
      <c r="AB5" s="342" t="s">
        <v>301</v>
      </c>
      <c r="AC5" s="342" t="s">
        <v>301</v>
      </c>
      <c r="AD5" s="342" t="s">
        <v>301</v>
      </c>
    </row>
    <row r="6" spans="1:30" x14ac:dyDescent="0.25">
      <c r="A6" s="368" t="s">
        <v>40</v>
      </c>
      <c r="B6" s="358" t="s">
        <v>40</v>
      </c>
      <c r="C6" s="358" t="s">
        <v>40</v>
      </c>
      <c r="D6" s="358" t="s">
        <v>40</v>
      </c>
      <c r="E6" s="342">
        <f>_xlfn.IFNA(VLOOKUP(AllocationTable[[#This Row],[TRADE]],LatestDump!A:H,2,FALSE),0) + (_xlfn.IFNA(VLOOKUP(AllocationTable[[#This Row],[TRADE]],LongTerm!A:D,4,0),0))</f>
        <v>1500</v>
      </c>
      <c r="F6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466</v>
      </c>
      <c r="G6" s="343">
        <f>_xlfn.IFNA(ROUND(VLOOKUP(AllocationTable[[#This Row],[TRADE]],LatestDump!A:H,4,FALSE),2),0)</f>
        <v>1100</v>
      </c>
      <c r="H6" s="344">
        <v>1100</v>
      </c>
      <c r="I6" s="345">
        <f ca="1">AllocationTable[[#This Row],[EA]]-AllocationTable[[#This Row],[AA]]</f>
        <v>0</v>
      </c>
      <c r="J6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6" s="344"/>
      <c r="L6" s="347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SIP</v>
      </c>
      <c r="M6" s="343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SIP</v>
      </c>
      <c r="N6" s="347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SIP</v>
      </c>
      <c r="O6" s="348">
        <f>AllocationTable[[#This Row],[CURRENT VALUE]]-AllocationTable[[#This Row],[AA]]</f>
        <v>951000</v>
      </c>
      <c r="P6" s="349">
        <f>IFERROR(AllocationTable[[#This Row],[PROFIT]]/AllocationTable[[#This Row],[AA]],0)</f>
        <v>1.3605150214592274</v>
      </c>
      <c r="Q6" s="369">
        <f>AllocationTable[[#This Row],[QNT]]*AllocationTable[[#This Row],[LTP]]</f>
        <v>1650000</v>
      </c>
      <c r="R6" s="369">
        <v>699000</v>
      </c>
      <c r="S6" s="369">
        <v>0</v>
      </c>
      <c r="T6" s="351">
        <v>0</v>
      </c>
      <c r="U6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699000</v>
      </c>
      <c r="V6" s="352">
        <f ca="1">AllocationTable[[#This Row],[AA]]/AllocationTable[[#Totals],[AA]]</f>
        <v>8.0916895060005156E-2</v>
      </c>
      <c r="W6" s="343">
        <f>AllocationTable[[#This Row],[QNT]]*AllocationTable[[#This Row],[AVG.]]</f>
        <v>699000</v>
      </c>
      <c r="X6" s="342">
        <v>0</v>
      </c>
      <c r="Y6" s="342" t="s">
        <v>301</v>
      </c>
      <c r="Z6" s="342" t="s">
        <v>301</v>
      </c>
      <c r="AA6" s="342" t="s">
        <v>301</v>
      </c>
      <c r="AB6" s="342" t="s">
        <v>301</v>
      </c>
      <c r="AC6" s="342" t="s">
        <v>301</v>
      </c>
      <c r="AD6" s="342" t="s">
        <v>301</v>
      </c>
    </row>
    <row r="7" spans="1:30" x14ac:dyDescent="0.25">
      <c r="A7" s="353" t="s">
        <v>132</v>
      </c>
      <c r="B7" s="356" t="s">
        <v>253</v>
      </c>
      <c r="C7" s="356" t="s">
        <v>138</v>
      </c>
      <c r="D7" s="354" t="s">
        <v>319</v>
      </c>
      <c r="E7" s="342">
        <f>_xlfn.IFNA(VLOOKUP(AllocationTable[[#This Row],[TRADE]],LatestDump!A:H,2,FALSE),0) + (_xlfn.IFNA(VLOOKUP(AllocationTable[[#This Row],[TRADE]],LongTerm!A:D,4,0),0))</f>
        <v>9197.7639999999992</v>
      </c>
      <c r="F7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10.273830683196483</v>
      </c>
      <c r="G7" s="343">
        <f>_xlfn.IFNA(ROUND(VLOOKUP(AllocationTable[[#This Row],[TRADE]],LatestDump!A:H,4,FALSE),2),0)</f>
        <v>10.89</v>
      </c>
      <c r="H7" s="344">
        <v>11</v>
      </c>
      <c r="I7" s="345">
        <f ca="1">AllocationTable[[#This Row],[EA]]-AllocationTable[[#This Row],[AA]]</f>
        <v>-40997.040000000001</v>
      </c>
      <c r="J7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7" s="344"/>
      <c r="L7" s="347" t="str">
        <f ca="1"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11 ,Qnt: -527</v>
      </c>
      <c r="M7" s="343" t="str">
        <f ca="1"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10 ,Qnt: -1129</v>
      </c>
      <c r="N7" s="347" t="str">
        <f ca="1"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10 ,Qnt: -2108</v>
      </c>
      <c r="O7" s="348">
        <f>AllocationTable[[#This Row],[CURRENT VALUE]]-AllocationTable[[#This Row],[AA]]</f>
        <v>5667.3799599999911</v>
      </c>
      <c r="P7" s="349">
        <f>IFERROR(AllocationTable[[#This Row],[PROFIT]]/AllocationTable[[#This Row],[AA]],0)</f>
        <v>5.9974641962058303E-2</v>
      </c>
      <c r="Q7" s="355">
        <f>AllocationTable[[#This Row],[QNT]]*AllocationTable[[#This Row],[LTP]]</f>
        <v>100163.64996</v>
      </c>
      <c r="R7" s="355">
        <v>35499.230000000003</v>
      </c>
      <c r="S7" s="355">
        <v>3000</v>
      </c>
      <c r="T7" s="351">
        <v>0</v>
      </c>
      <c r="U7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53499.23</v>
      </c>
      <c r="V7" s="352">
        <f ca="1">AllocationTable[[#This Row],[AA]]/AllocationTable[[#Totals],[AA]]</f>
        <v>1.0938976771318904E-2</v>
      </c>
      <c r="W7" s="343">
        <f>AllocationTable[[#This Row],[QNT]]*AllocationTable[[#This Row],[AVG.]]</f>
        <v>94496.27</v>
      </c>
      <c r="X7" s="342">
        <v>5</v>
      </c>
      <c r="Y7" s="342" t="s">
        <v>301</v>
      </c>
      <c r="Z7" s="342" t="s">
        <v>301</v>
      </c>
      <c r="AA7" s="342" t="s">
        <v>301</v>
      </c>
      <c r="AB7" s="342" t="s">
        <v>301</v>
      </c>
      <c r="AC7" s="342" t="s">
        <v>301</v>
      </c>
      <c r="AD7" s="342" t="s">
        <v>301</v>
      </c>
    </row>
    <row r="8" spans="1:30" x14ac:dyDescent="0.25">
      <c r="A8" s="353" t="s">
        <v>125</v>
      </c>
      <c r="B8" s="354" t="s">
        <v>245</v>
      </c>
      <c r="C8" s="354" t="s">
        <v>138</v>
      </c>
      <c r="D8" s="354" t="s">
        <v>319</v>
      </c>
      <c r="E8" s="342">
        <f>_xlfn.IFNA(VLOOKUP(AllocationTable[[#This Row],[TRADE]],LatestDump!A:H,2,FALSE),0) + (_xlfn.IFNA(VLOOKUP(AllocationTable[[#This Row],[TRADE]],LongTerm!A:D,4,0),0))</f>
        <v>62.585000000000036</v>
      </c>
      <c r="F8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39.087001677718284</v>
      </c>
      <c r="G8" s="343">
        <f>_xlfn.IFNA(ROUND(VLOOKUP(AllocationTable[[#This Row],[TRADE]],LatestDump!A:H,4,FALSE),2),0)</f>
        <v>59.16</v>
      </c>
      <c r="H8" s="344">
        <v>64</v>
      </c>
      <c r="I8" s="345">
        <f ca="1">AllocationTable[[#This Row],[EA]]-AllocationTable[[#This Row],[AA]]</f>
        <v>0</v>
      </c>
      <c r="J8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8" s="344"/>
      <c r="L8" s="347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8" s="343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8" s="347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8" s="348">
        <f>AllocationTable[[#This Row],[CURRENT VALUE]]-AllocationTable[[#This Row],[AA]]</f>
        <v>1256.2686000000017</v>
      </c>
      <c r="P8" s="349">
        <f>IFERROR(AllocationTable[[#This Row],[PROFIT]]/AllocationTable[[#This Row],[AA]],0)</f>
        <v>0.5135466385421017</v>
      </c>
      <c r="Q8" s="355">
        <f>AllocationTable[[#This Row],[QNT]]*AllocationTable[[#This Row],[LTP]]</f>
        <v>3702.5286000000019</v>
      </c>
      <c r="R8" s="355">
        <v>2446.2600000000002</v>
      </c>
      <c r="S8" s="355">
        <v>0</v>
      </c>
      <c r="T8" s="351">
        <v>0</v>
      </c>
      <c r="U8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2446.2600000000002</v>
      </c>
      <c r="V8" s="352">
        <f ca="1">AllocationTable[[#This Row],[AA]]/AllocationTable[[#Totals],[AA]]</f>
        <v>2.8318135008510476E-4</v>
      </c>
      <c r="W8" s="343">
        <f>AllocationTable[[#This Row],[QNT]]*AllocationTable[[#This Row],[AVG.]]</f>
        <v>2446.2600000000002</v>
      </c>
      <c r="X8" s="342">
        <v>-1</v>
      </c>
      <c r="Y8" s="342" t="s">
        <v>301</v>
      </c>
      <c r="Z8" s="342" t="s">
        <v>301</v>
      </c>
      <c r="AA8" s="342" t="s">
        <v>301</v>
      </c>
      <c r="AB8" s="342" t="s">
        <v>301</v>
      </c>
      <c r="AC8" s="342" t="s">
        <v>301</v>
      </c>
      <c r="AD8" s="342" t="s">
        <v>301</v>
      </c>
    </row>
    <row r="9" spans="1:30" x14ac:dyDescent="0.25">
      <c r="A9" s="353" t="s">
        <v>126</v>
      </c>
      <c r="B9" s="354" t="s">
        <v>245</v>
      </c>
      <c r="C9" s="354" t="s">
        <v>138</v>
      </c>
      <c r="D9" s="354" t="s">
        <v>319</v>
      </c>
      <c r="E9" s="342">
        <f>_xlfn.IFNA(VLOOKUP(AllocationTable[[#This Row],[TRADE]],LatestDump!A:H,2,FALSE),0) + (_xlfn.IFNA(VLOOKUP(AllocationTable[[#This Row],[TRADE]],LongTerm!A:D,4,0),0))</f>
        <v>303.37099999999987</v>
      </c>
      <c r="F9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75.070557172570915</v>
      </c>
      <c r="G9" s="343">
        <f>_xlfn.IFNA(ROUND(VLOOKUP(AllocationTable[[#This Row],[TRADE]],LatestDump!A:H,4,FALSE),2),0)</f>
        <v>104.13</v>
      </c>
      <c r="H9" s="344">
        <v>112</v>
      </c>
      <c r="I9" s="345">
        <f ca="1">AllocationTable[[#This Row],[EA]]-AllocationTable[[#This Row],[AA]]</f>
        <v>2060.5699999999997</v>
      </c>
      <c r="J9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9" s="344"/>
      <c r="L9" s="347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9" s="343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9" s="347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9" s="348">
        <f>AllocationTable[[#This Row],[CURRENT VALUE]]-AllocationTable[[#This Row],[AA]]</f>
        <v>8815.7922299999846</v>
      </c>
      <c r="P9" s="349">
        <f>IFERROR(AllocationTable[[#This Row],[PROFIT]]/AllocationTable[[#This Row],[AA]],0)</f>
        <v>0.38709507324726172</v>
      </c>
      <c r="Q9" s="355">
        <f>AllocationTable[[#This Row],[QNT]]*AllocationTable[[#This Row],[LTP]]</f>
        <v>31590.022229999984</v>
      </c>
      <c r="R9" s="355">
        <v>24834.799999999999</v>
      </c>
      <c r="S9" s="355">
        <v>0</v>
      </c>
      <c r="T9" s="351">
        <v>0</v>
      </c>
      <c r="U9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24834.799999999999</v>
      </c>
      <c r="V9" s="352">
        <f ca="1">AllocationTable[[#This Row],[AA]]/AllocationTable[[#Totals],[AA]]</f>
        <v>2.6363662074140501E-3</v>
      </c>
      <c r="W9" s="343">
        <f>AllocationTable[[#This Row],[QNT]]*AllocationTable[[#This Row],[AVG.]]</f>
        <v>22774.23</v>
      </c>
      <c r="X9" s="342">
        <v>-1</v>
      </c>
      <c r="Y9" s="342" t="s">
        <v>301</v>
      </c>
      <c r="Z9" s="342" t="s">
        <v>301</v>
      </c>
      <c r="AA9" s="342" t="s">
        <v>301</v>
      </c>
      <c r="AB9" s="342" t="s">
        <v>301</v>
      </c>
      <c r="AC9" s="342" t="s">
        <v>301</v>
      </c>
      <c r="AD9" s="342" t="s">
        <v>301</v>
      </c>
    </row>
    <row r="10" spans="1:30" x14ac:dyDescent="0.25">
      <c r="A10" s="353" t="s">
        <v>130</v>
      </c>
      <c r="B10" s="356" t="s">
        <v>246</v>
      </c>
      <c r="C10" s="356" t="s">
        <v>138</v>
      </c>
      <c r="D10" s="354" t="s">
        <v>319</v>
      </c>
      <c r="E10" s="342">
        <f>_xlfn.IFNA(VLOOKUP(AllocationTable[[#This Row],[TRADE]],LatestDump!A:H,2,FALSE),0) + (_xlfn.IFNA(VLOOKUP(AllocationTable[[#This Row],[TRADE]],LongTerm!A:D,4,0),0))</f>
        <v>2326.5459999999998</v>
      </c>
      <c r="F10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9.9209256984388006</v>
      </c>
      <c r="G10" s="343">
        <f>_xlfn.IFNA(ROUND(VLOOKUP(AllocationTable[[#This Row],[TRADE]],LatestDump!A:H,4,FALSE),2),0)</f>
        <v>9.66</v>
      </c>
      <c r="H10" s="344">
        <v>11</v>
      </c>
      <c r="I10" s="345">
        <f ca="1">AllocationTable[[#This Row],[EA]]-AllocationTable[[#This Row],[AA]]</f>
        <v>7000.5400000000045</v>
      </c>
      <c r="J10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10" s="344"/>
      <c r="L10" s="347" t="str">
        <f ca="1"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11 ,Qnt: 102</v>
      </c>
      <c r="M10" s="343" t="str">
        <f ca="1"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10 ,Qnt: 218</v>
      </c>
      <c r="N10" s="347" t="str">
        <f ca="1"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10 ,Qnt: 406</v>
      </c>
      <c r="O10" s="348">
        <f>AllocationTable[[#This Row],[CURRENT VALUE]]-AllocationTable[[#This Row],[AA]]</f>
        <v>-607.05563999999504</v>
      </c>
      <c r="P10" s="349">
        <f>IFERROR(AllocationTable[[#This Row],[PROFIT]]/AllocationTable[[#This Row],[AA]],0)</f>
        <v>-2.6300539523228146E-2</v>
      </c>
      <c r="Q10" s="355">
        <f>AllocationTable[[#This Row],[QNT]]*AllocationTable[[#This Row],[LTP]]</f>
        <v>22474.434359999999</v>
      </c>
      <c r="R10" s="355">
        <v>12082.03</v>
      </c>
      <c r="S10" s="355">
        <v>3000</v>
      </c>
      <c r="T10" s="351">
        <v>0</v>
      </c>
      <c r="U10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30082.03</v>
      </c>
      <c r="V10" s="352">
        <f ca="1">AllocationTable[[#This Row],[AA]]/AllocationTable[[#Totals],[AA]]</f>
        <v>2.6719349129593105E-3</v>
      </c>
      <c r="W10" s="343">
        <f>AllocationTable[[#This Row],[QNT]]*AllocationTable[[#This Row],[AVG.]]</f>
        <v>23081.489999999994</v>
      </c>
      <c r="X10" s="342">
        <v>5</v>
      </c>
      <c r="Y10" s="342" t="s">
        <v>301</v>
      </c>
      <c r="Z10" s="342" t="s">
        <v>301</v>
      </c>
      <c r="AA10" s="342" t="s">
        <v>301</v>
      </c>
      <c r="AB10" s="342" t="s">
        <v>301</v>
      </c>
      <c r="AC10" s="342" t="s">
        <v>301</v>
      </c>
      <c r="AD10" s="342" t="s">
        <v>301</v>
      </c>
    </row>
    <row r="11" spans="1:30" x14ac:dyDescent="0.25">
      <c r="A11" s="353" t="s">
        <v>134</v>
      </c>
      <c r="B11" s="356" t="s">
        <v>246</v>
      </c>
      <c r="C11" s="356" t="s">
        <v>138</v>
      </c>
      <c r="D11" s="354" t="s">
        <v>319</v>
      </c>
      <c r="E11" s="342">
        <f>_xlfn.IFNA(VLOOKUP(AllocationTable[[#This Row],[TRADE]],LatestDump!A:H,2,FALSE),0) + (_xlfn.IFNA(VLOOKUP(AllocationTable[[#This Row],[TRADE]],LongTerm!A:D,4,0),0))</f>
        <v>1709.3360000000005</v>
      </c>
      <c r="F11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66.351203040244854</v>
      </c>
      <c r="G11" s="343">
        <f>_xlfn.IFNA(ROUND(VLOOKUP(AllocationTable[[#This Row],[TRADE]],LatestDump!A:H,4,FALSE),2),0)</f>
        <v>90.44</v>
      </c>
      <c r="H11" s="344">
        <v>96</v>
      </c>
      <c r="I11" s="345">
        <f ca="1">AllocationTable[[#This Row],[EA]]-AllocationTable[[#This Row],[AA]]</f>
        <v>20501.14</v>
      </c>
      <c r="J11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11" s="344"/>
      <c r="L11" s="347" t="str">
        <f ca="1"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92 ,Qnt: 32</v>
      </c>
      <c r="M11" s="343" t="str">
        <f ca="1"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87 ,Qnt: 69</v>
      </c>
      <c r="N11" s="347" t="str">
        <f ca="1"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82 ,Qnt: 127</v>
      </c>
      <c r="O11" s="348">
        <f>AllocationTable[[#This Row],[CURRENT VALUE]]-AllocationTable[[#This Row],[AA]]</f>
        <v>41175.847840000017</v>
      </c>
      <c r="P11" s="349">
        <f>IFERROR(AllocationTable[[#This Row],[PROFIT]]/AllocationTable[[#This Row],[AA]],0)</f>
        <v>0.36304988991901543</v>
      </c>
      <c r="Q11" s="355">
        <f>AllocationTable[[#This Row],[QNT]]*AllocationTable[[#This Row],[LTP]]</f>
        <v>154592.34784000003</v>
      </c>
      <c r="R11" s="355">
        <v>88917.64</v>
      </c>
      <c r="S11" s="355">
        <v>7500</v>
      </c>
      <c r="T11" s="351">
        <v>0</v>
      </c>
      <c r="U11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133917.64000000001</v>
      </c>
      <c r="V11" s="352">
        <f ca="1">AllocationTable[[#This Row],[AA]]/AllocationTable[[#Totals],[AA]]</f>
        <v>1.3129200327000108E-2</v>
      </c>
      <c r="W11" s="343">
        <f>AllocationTable[[#This Row],[QNT]]*AllocationTable[[#This Row],[AVG.]]</f>
        <v>113416.50000000001</v>
      </c>
      <c r="X11" s="342">
        <v>5</v>
      </c>
      <c r="Y11" s="342" t="s">
        <v>301</v>
      </c>
      <c r="Z11" s="342" t="s">
        <v>301</v>
      </c>
      <c r="AA11" s="342" t="s">
        <v>301</v>
      </c>
      <c r="AB11" s="342" t="s">
        <v>301</v>
      </c>
      <c r="AC11" s="342" t="s">
        <v>301</v>
      </c>
      <c r="AD11" s="342" t="s">
        <v>301</v>
      </c>
    </row>
    <row r="12" spans="1:30" x14ac:dyDescent="0.25">
      <c r="A12" s="353" t="s">
        <v>212</v>
      </c>
      <c r="B12" s="356" t="s">
        <v>246</v>
      </c>
      <c r="C12" s="356" t="s">
        <v>138</v>
      </c>
      <c r="D12" s="354" t="s">
        <v>319</v>
      </c>
      <c r="E12" s="342">
        <f>_xlfn.IFNA(VLOOKUP(AllocationTable[[#This Row],[TRADE]],LatestDump!A:H,2,FALSE),0) + (_xlfn.IFNA(VLOOKUP(AllocationTable[[#This Row],[TRADE]],LongTerm!A:D,4,0),0))</f>
        <v>278</v>
      </c>
      <c r="F12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35.97122302158273</v>
      </c>
      <c r="G12" s="343">
        <f>_xlfn.IFNA(ROUND(VLOOKUP(AllocationTable[[#This Row],[TRADE]],LatestDump!A:H,4,FALSE),2),0)</f>
        <v>90.44</v>
      </c>
      <c r="H12" s="344">
        <v>96</v>
      </c>
      <c r="I12" s="345">
        <f ca="1">AllocationTable[[#This Row],[EA]]-AllocationTable[[#This Row],[AA]]</f>
        <v>0</v>
      </c>
      <c r="J12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12" s="344"/>
      <c r="L12" s="347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12" s="343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12" s="347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12" s="348">
        <f>AllocationTable[[#This Row],[CURRENT VALUE]]-AllocationTable[[#This Row],[AA]]</f>
        <v>15142.320000000002</v>
      </c>
      <c r="P12" s="349">
        <f>IFERROR(AllocationTable[[#This Row],[PROFIT]]/AllocationTable[[#This Row],[AA]],0)</f>
        <v>1.5142320000000005</v>
      </c>
      <c r="Q12" s="355">
        <f>AllocationTable[[#This Row],[QNT]]*AllocationTable[[#This Row],[LTP]]</f>
        <v>25142.32</v>
      </c>
      <c r="R12" s="355">
        <v>9999.9999999999982</v>
      </c>
      <c r="S12" s="355">
        <v>0</v>
      </c>
      <c r="T12" s="351">
        <v>0</v>
      </c>
      <c r="U12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9999.9999999999982</v>
      </c>
      <c r="V12" s="352">
        <f ca="1">AllocationTable[[#This Row],[AA]]/AllocationTable[[#Totals],[AA]]</f>
        <v>1.1576093713877703E-3</v>
      </c>
      <c r="W12" s="343">
        <f>AllocationTable[[#This Row],[QNT]]*AllocationTable[[#This Row],[AVG.]]</f>
        <v>9999.9999999999982</v>
      </c>
      <c r="X12" s="342">
        <v>-1</v>
      </c>
      <c r="Y12" s="342" t="s">
        <v>301</v>
      </c>
      <c r="Z12" s="342" t="s">
        <v>301</v>
      </c>
      <c r="AA12" s="342" t="s">
        <v>301</v>
      </c>
      <c r="AB12" s="342" t="s">
        <v>301</v>
      </c>
      <c r="AC12" s="342" t="s">
        <v>301</v>
      </c>
      <c r="AD12" s="342" t="s">
        <v>301</v>
      </c>
    </row>
    <row r="13" spans="1:30" x14ac:dyDescent="0.25">
      <c r="A13" s="353" t="s">
        <v>128</v>
      </c>
      <c r="B13" s="356" t="s">
        <v>248</v>
      </c>
      <c r="C13" s="356" t="s">
        <v>138</v>
      </c>
      <c r="D13" s="354" t="s">
        <v>319</v>
      </c>
      <c r="E13" s="342">
        <f>_xlfn.IFNA(VLOOKUP(AllocationTable[[#This Row],[TRADE]],LatestDump!A:H,2,FALSE),0) + (_xlfn.IFNA(VLOOKUP(AllocationTable[[#This Row],[TRADE]],LongTerm!A:D,4,0),0))</f>
        <v>282.19</v>
      </c>
      <c r="F13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507.08827385803886</v>
      </c>
      <c r="G13" s="343">
        <f>_xlfn.IFNA(ROUND(VLOOKUP(AllocationTable[[#This Row],[TRADE]],LatestDump!A:H,4,FALSE),2),0)</f>
        <v>737.28</v>
      </c>
      <c r="H13" s="344">
        <v>816</v>
      </c>
      <c r="I13" s="345">
        <f ca="1">AllocationTable[[#This Row],[EA]]-AllocationTable[[#This Row],[AA]]</f>
        <v>0</v>
      </c>
      <c r="J13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13" s="344"/>
      <c r="L13" s="347" t="str">
        <f ca="1"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776 ,Qnt: 0</v>
      </c>
      <c r="M13" s="343" t="str">
        <f ca="1"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735 ,Qnt: 0</v>
      </c>
      <c r="N13" s="347" t="str">
        <f ca="1"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694 ,Qnt: 0</v>
      </c>
      <c r="O13" s="348">
        <f>AllocationTable[[#This Row],[CURRENT VALUE]]-AllocationTable[[#This Row],[AA]]</f>
        <v>64957.803199999995</v>
      </c>
      <c r="P13" s="349">
        <f>IFERROR(AllocationTable[[#This Row],[PROFIT]]/AllocationTable[[#This Row],[AA]],0)</f>
        <v>0.45394803628688135</v>
      </c>
      <c r="Q13" s="355">
        <f>AllocationTable[[#This Row],[QNT]]*AllocationTable[[#This Row],[LTP]]</f>
        <v>208053.04319999999</v>
      </c>
      <c r="R13" s="355">
        <v>143095.24</v>
      </c>
      <c r="S13" s="355">
        <v>0</v>
      </c>
      <c r="T13" s="351">
        <v>0</v>
      </c>
      <c r="U13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143095.24</v>
      </c>
      <c r="V13" s="352">
        <f ca="1">AllocationTable[[#This Row],[AA]]/AllocationTable[[#Totals],[AA]]</f>
        <v>1.6564839082498214E-2</v>
      </c>
      <c r="W13" s="343">
        <f>AllocationTable[[#This Row],[QNT]]*AllocationTable[[#This Row],[AVG.]]</f>
        <v>143095.24</v>
      </c>
      <c r="X13" s="342">
        <v>5</v>
      </c>
      <c r="Y13" s="342" t="s">
        <v>301</v>
      </c>
      <c r="Z13" s="342" t="s">
        <v>301</v>
      </c>
      <c r="AA13" s="342" t="s">
        <v>301</v>
      </c>
      <c r="AB13" s="342" t="s">
        <v>301</v>
      </c>
      <c r="AC13" s="342" t="s">
        <v>301</v>
      </c>
      <c r="AD13" s="342" t="s">
        <v>301</v>
      </c>
    </row>
    <row r="14" spans="1:30" x14ac:dyDescent="0.25">
      <c r="A14" s="353" t="s">
        <v>135</v>
      </c>
      <c r="B14" s="356" t="s">
        <v>251</v>
      </c>
      <c r="C14" s="356" t="s">
        <v>138</v>
      </c>
      <c r="D14" s="354" t="s">
        <v>319</v>
      </c>
      <c r="E14" s="342">
        <f>_xlfn.IFNA(VLOOKUP(AllocationTable[[#This Row],[TRADE]],LatestDump!A:H,2,FALSE),0) + (_xlfn.IFNA(VLOOKUP(AllocationTable[[#This Row],[TRADE]],LongTerm!A:D,4,0),0))</f>
        <v>0</v>
      </c>
      <c r="F14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14" s="343">
        <f>_xlfn.IFNA(ROUND(VLOOKUP(AllocationTable[[#This Row],[TRADE]],LatestDump!A:H,4,FALSE),2),0)</f>
        <v>0</v>
      </c>
      <c r="H14" s="344">
        <v>43</v>
      </c>
      <c r="I14" s="345">
        <f ca="1">AllocationTable[[#This Row],[EA]]-AllocationTable[[#This Row],[AA]]</f>
        <v>27998.63</v>
      </c>
      <c r="J14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14" s="344"/>
      <c r="L14" s="347" t="e">
        <f ca="1"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#DIV/0!</v>
      </c>
      <c r="M14" s="343" t="e">
        <f ca="1"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#DIV/0!</v>
      </c>
      <c r="N14" s="347" t="e">
        <f ca="1"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#DIV/0!</v>
      </c>
      <c r="O14" s="348">
        <f>AllocationTable[[#This Row],[CURRENT VALUE]]-AllocationTable[[#This Row],[AA]]</f>
        <v>0</v>
      </c>
      <c r="P14" s="349">
        <f>IFERROR(AllocationTable[[#This Row],[PROFIT]]/AllocationTable[[#This Row],[AA]],0)</f>
        <v>0</v>
      </c>
      <c r="Q14" s="355">
        <f>AllocationTable[[#This Row],[QNT]]*AllocationTable[[#This Row],[LTP]]</f>
        <v>0</v>
      </c>
      <c r="R14" s="355">
        <v>27998.63</v>
      </c>
      <c r="S14" s="355">
        <v>0</v>
      </c>
      <c r="T14" s="351">
        <v>0</v>
      </c>
      <c r="U14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27998.63</v>
      </c>
      <c r="V14" s="352">
        <f ca="1">AllocationTable[[#This Row],[AA]]/AllocationTable[[#Totals],[AA]]</f>
        <v>0</v>
      </c>
      <c r="W14" s="343">
        <f>AllocationTable[[#This Row],[QNT]]*AllocationTable[[#This Row],[AVG.]]</f>
        <v>0</v>
      </c>
      <c r="X14" s="342">
        <v>8</v>
      </c>
      <c r="Y14" s="342" t="s">
        <v>301</v>
      </c>
      <c r="Z14" s="342" t="s">
        <v>301</v>
      </c>
      <c r="AA14" s="342" t="s">
        <v>301</v>
      </c>
      <c r="AB14" s="342" t="s">
        <v>301</v>
      </c>
      <c r="AC14" s="342" t="s">
        <v>301</v>
      </c>
      <c r="AD14" s="342" t="s">
        <v>301</v>
      </c>
    </row>
    <row r="15" spans="1:30" ht="15" customHeight="1" x14ac:dyDescent="0.25">
      <c r="A15" s="353" t="s">
        <v>129</v>
      </c>
      <c r="B15" s="356" t="s">
        <v>249</v>
      </c>
      <c r="C15" s="356" t="s">
        <v>138</v>
      </c>
      <c r="D15" s="354" t="s">
        <v>319</v>
      </c>
      <c r="E15" s="342">
        <f>_xlfn.IFNA(VLOOKUP(AllocationTable[[#This Row],[TRADE]],LatestDump!A:H,2,FALSE),0) + (_xlfn.IFNA(VLOOKUP(AllocationTable[[#This Row],[TRADE]],LongTerm!A:D,4,0),0))</f>
        <v>444.28400000000011</v>
      </c>
      <c r="F15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184.69071584842123</v>
      </c>
      <c r="G15" s="343">
        <f>_xlfn.IFNA(ROUND(VLOOKUP(AllocationTable[[#This Row],[TRADE]],LatestDump!A:H,4,FALSE),2),0)</f>
        <v>192.51</v>
      </c>
      <c r="H15" s="344">
        <v>235</v>
      </c>
      <c r="I15" s="345">
        <f ca="1">AllocationTable[[#This Row],[EA]]-AllocationTable[[#This Row],[AA]]</f>
        <v>-10999.669999999998</v>
      </c>
      <c r="J15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15" s="344"/>
      <c r="L15" s="347" t="str">
        <f ca="1"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217 ,Qnt: -7</v>
      </c>
      <c r="M15" s="343" t="str">
        <f ca="1"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198 ,Qnt: -17</v>
      </c>
      <c r="N15" s="347" t="str">
        <f ca="1"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179 ,Qnt: -31</v>
      </c>
      <c r="O15" s="348">
        <f>AllocationTable[[#This Row],[CURRENT VALUE]]-AllocationTable[[#This Row],[AA]]</f>
        <v>3473.9828400000115</v>
      </c>
      <c r="P15" s="349">
        <f>IFERROR(AllocationTable[[#This Row],[PROFIT]]/AllocationTable[[#This Row],[AA]],0)</f>
        <v>4.2337180381043955E-2</v>
      </c>
      <c r="Q15" s="355">
        <f>AllocationTable[[#This Row],[QNT]]*AllocationTable[[#This Row],[LTP]]</f>
        <v>85529.112840000016</v>
      </c>
      <c r="R15" s="355">
        <v>71055.460000000006</v>
      </c>
      <c r="S15" s="355">
        <v>0</v>
      </c>
      <c r="T15" s="351">
        <v>0</v>
      </c>
      <c r="U15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71055.460000000006</v>
      </c>
      <c r="V15" s="352">
        <f ca="1">AllocationTable[[#This Row],[AA]]/AllocationTable[[#Totals],[AA]]</f>
        <v>9.4987787458441792E-3</v>
      </c>
      <c r="W15" s="343">
        <f>AllocationTable[[#This Row],[QNT]]*AllocationTable[[#This Row],[AVG.]]</f>
        <v>82055.13</v>
      </c>
      <c r="X15" s="342">
        <v>8</v>
      </c>
      <c r="Y15" s="342" t="s">
        <v>301</v>
      </c>
      <c r="Z15" s="342" t="s">
        <v>301</v>
      </c>
      <c r="AA15" s="342" t="s">
        <v>301</v>
      </c>
      <c r="AB15" s="342" t="s">
        <v>301</v>
      </c>
      <c r="AC15" s="342" t="s">
        <v>301</v>
      </c>
      <c r="AD15" s="342" t="s">
        <v>301</v>
      </c>
    </row>
    <row r="16" spans="1:30" x14ac:dyDescent="0.25">
      <c r="A16" s="353" t="s">
        <v>131</v>
      </c>
      <c r="B16" s="356" t="s">
        <v>247</v>
      </c>
      <c r="C16" s="356" t="s">
        <v>138</v>
      </c>
      <c r="D16" s="354" t="s">
        <v>319</v>
      </c>
      <c r="E16" s="342">
        <f>_xlfn.IFNA(VLOOKUP(AllocationTable[[#This Row],[TRADE]],LatestDump!A:H,2,FALSE),0) + (_xlfn.IFNA(VLOOKUP(AllocationTable[[#This Row],[TRADE]],LongTerm!A:D,4,0),0))</f>
        <v>1716.2729999999995</v>
      </c>
      <c r="F16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126.37194665417452</v>
      </c>
      <c r="G16" s="343">
        <f>_xlfn.IFNA(ROUND(VLOOKUP(AllocationTable[[#This Row],[TRADE]],LatestDump!A:H,4,FALSE),2),0)</f>
        <v>167.47</v>
      </c>
      <c r="H16" s="344">
        <v>180</v>
      </c>
      <c r="I16" s="345">
        <f ca="1">AllocationTable[[#This Row],[EA]]-AllocationTable[[#This Row],[AA]]</f>
        <v>0</v>
      </c>
      <c r="J16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16" s="344"/>
      <c r="L16" s="347" t="str">
        <f ca="1"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171 ,Qnt: 0</v>
      </c>
      <c r="M16" s="343" t="str">
        <f ca="1"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162 ,Qnt: 0</v>
      </c>
      <c r="N16" s="347" t="str">
        <f ca="1"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153 ,Qnt: 0</v>
      </c>
      <c r="O16" s="348">
        <f>AllocationTable[[#This Row],[CURRENT VALUE]]-AllocationTable[[#This Row],[AA]]</f>
        <v>70535.479309999908</v>
      </c>
      <c r="P16" s="349">
        <f>IFERROR(AllocationTable[[#This Row],[PROFIT]]/AllocationTable[[#This Row],[AA]],0)</f>
        <v>0.32521500565543326</v>
      </c>
      <c r="Q16" s="355">
        <f>AllocationTable[[#This Row],[QNT]]*AllocationTable[[#This Row],[LTP]]</f>
        <v>287424.23930999992</v>
      </c>
      <c r="R16" s="355">
        <v>216888.76</v>
      </c>
      <c r="S16" s="355">
        <v>0</v>
      </c>
      <c r="T16" s="351">
        <v>0</v>
      </c>
      <c r="U16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216888.76</v>
      </c>
      <c r="V16" s="352">
        <f ca="1">AllocationTable[[#This Row],[AA]]/AllocationTable[[#Totals],[AA]]</f>
        <v>2.5107246112467303E-2</v>
      </c>
      <c r="W16" s="343">
        <f>AllocationTable[[#This Row],[QNT]]*AllocationTable[[#This Row],[AVG.]]</f>
        <v>216888.76</v>
      </c>
      <c r="X16" s="342">
        <v>5</v>
      </c>
      <c r="Y16" s="359" t="s">
        <v>326</v>
      </c>
      <c r="Z16" s="342"/>
      <c r="AA16" s="342" t="s">
        <v>301</v>
      </c>
      <c r="AB16" s="342" t="s">
        <v>301</v>
      </c>
      <c r="AC16" s="342" t="s">
        <v>301</v>
      </c>
      <c r="AD16" s="342" t="s">
        <v>301</v>
      </c>
    </row>
    <row r="17" spans="1:30" x14ac:dyDescent="0.25">
      <c r="A17" s="353" t="s">
        <v>133</v>
      </c>
      <c r="B17" s="356" t="s">
        <v>250</v>
      </c>
      <c r="C17" s="356" t="s">
        <v>138</v>
      </c>
      <c r="D17" s="354" t="s">
        <v>319</v>
      </c>
      <c r="E17" s="342">
        <f>_xlfn.IFNA(VLOOKUP(AllocationTable[[#This Row],[TRADE]],LatestDump!A:H,2,FALSE),0) + (_xlfn.IFNA(VLOOKUP(AllocationTable[[#This Row],[TRADE]],LongTerm!A:D,4,0),0))</f>
        <v>154.01000000000002</v>
      </c>
      <c r="F17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435.23349133173161</v>
      </c>
      <c r="G17" s="343">
        <f>_xlfn.IFNA(ROUND(VLOOKUP(AllocationTable[[#This Row],[TRADE]],LatestDump!A:H,4,FALSE),2),0)</f>
        <v>557.75</v>
      </c>
      <c r="H17" s="344">
        <v>575</v>
      </c>
      <c r="I17" s="345">
        <f ca="1">AllocationTable[[#This Row],[EA]]-AllocationTable[[#This Row],[AA]]</f>
        <v>-1000.1999999999971</v>
      </c>
      <c r="J17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17" s="344"/>
      <c r="L17" s="347" t="str">
        <f ca="1"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529 ,Qnt: 0</v>
      </c>
      <c r="M17" s="343" t="str">
        <f ca="1"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483 ,Qnt: 0</v>
      </c>
      <c r="N17" s="347" t="str">
        <f ca="1"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437 ,Qnt: -1</v>
      </c>
      <c r="O17" s="348">
        <f>AllocationTable[[#This Row],[CURRENT VALUE]]-AllocationTable[[#This Row],[AA]]</f>
        <v>18868.767500000016</v>
      </c>
      <c r="P17" s="349">
        <f>IFERROR(AllocationTable[[#This Row],[PROFIT]]/AllocationTable[[#This Row],[AA]],0)</f>
        <v>0.28149605007048328</v>
      </c>
      <c r="Q17" s="355">
        <f>AllocationTable[[#This Row],[QNT]]*AllocationTable[[#This Row],[LTP]]</f>
        <v>85899.077500000014</v>
      </c>
      <c r="R17" s="355">
        <v>66030.11</v>
      </c>
      <c r="S17" s="355">
        <v>0</v>
      </c>
      <c r="T17" s="351">
        <v>0</v>
      </c>
      <c r="U17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66030.11</v>
      </c>
      <c r="V17" s="352">
        <f ca="1">AllocationTable[[#This Row],[AA]]/AllocationTable[[#Totals],[AA]]</f>
        <v>7.7594915023027379E-3</v>
      </c>
      <c r="W17" s="343">
        <f>AllocationTable[[#This Row],[QNT]]*AllocationTable[[#This Row],[AVG.]]</f>
        <v>67030.31</v>
      </c>
      <c r="X17" s="342">
        <v>8</v>
      </c>
      <c r="Y17" s="342" t="s">
        <v>301</v>
      </c>
      <c r="Z17" s="342" t="s">
        <v>301</v>
      </c>
      <c r="AA17" s="342" t="s">
        <v>301</v>
      </c>
      <c r="AB17" s="342" t="s">
        <v>301</v>
      </c>
      <c r="AC17" s="342" t="s">
        <v>301</v>
      </c>
      <c r="AD17" s="342" t="s">
        <v>301</v>
      </c>
    </row>
    <row r="18" spans="1:30" x14ac:dyDescent="0.25">
      <c r="A18" s="353" t="s">
        <v>127</v>
      </c>
      <c r="B18" s="356" t="s">
        <v>252</v>
      </c>
      <c r="C18" s="356" t="s">
        <v>138</v>
      </c>
      <c r="D18" s="354" t="s">
        <v>319</v>
      </c>
      <c r="E18" s="342">
        <f>_xlfn.IFNA(VLOOKUP(AllocationTable[[#This Row],[TRADE]],LatestDump!A:H,2,FALSE),0) + (_xlfn.IFNA(VLOOKUP(AllocationTable[[#This Row],[TRADE]],LongTerm!A:D,4,0),0))</f>
        <v>1735.395</v>
      </c>
      <c r="F18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93.585396984548197</v>
      </c>
      <c r="G18" s="343">
        <f>_xlfn.IFNA(ROUND(VLOOKUP(AllocationTable[[#This Row],[TRADE]],LatestDump!A:H,4,FALSE),2),0)</f>
        <v>116.95</v>
      </c>
      <c r="H18" s="344">
        <v>123</v>
      </c>
      <c r="I18" s="345">
        <f ca="1">AllocationTable[[#This Row],[EA]]-AllocationTable[[#This Row],[AA]]</f>
        <v>-1999.9100000000035</v>
      </c>
      <c r="J18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18" s="344"/>
      <c r="L18" s="347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18" s="343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18" s="347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18" s="348">
        <f>AllocationTable[[#This Row],[CURRENT VALUE]]-AllocationTable[[#This Row],[AA]]</f>
        <v>40546.815249999985</v>
      </c>
      <c r="P18" s="349">
        <f>IFERROR(AllocationTable[[#This Row],[PROFIT]]/AllocationTable[[#This Row],[AA]],0)</f>
        <v>0.24966077794497699</v>
      </c>
      <c r="Q18" s="355">
        <f>AllocationTable[[#This Row],[QNT]]*AllocationTable[[#This Row],[LTP]]</f>
        <v>202954.44524999999</v>
      </c>
      <c r="R18" s="355">
        <v>160407.72</v>
      </c>
      <c r="S18" s="355">
        <v>0</v>
      </c>
      <c r="T18" s="351">
        <v>0</v>
      </c>
      <c r="U18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160407.72</v>
      </c>
      <c r="V18" s="352">
        <f ca="1">AllocationTable[[#This Row],[AA]]/AllocationTable[[#Totals],[AA]]</f>
        <v>1.8800459447287761E-2</v>
      </c>
      <c r="W18" s="343">
        <f>AllocationTable[[#This Row],[QNT]]*AllocationTable[[#This Row],[AVG.]]</f>
        <v>162407.63</v>
      </c>
      <c r="X18" s="342">
        <v>-1</v>
      </c>
      <c r="Y18" s="342" t="s">
        <v>301</v>
      </c>
      <c r="Z18" s="342" t="s">
        <v>301</v>
      </c>
      <c r="AA18" s="342" t="s">
        <v>301</v>
      </c>
      <c r="AB18" s="342" t="s">
        <v>301</v>
      </c>
      <c r="AC18" s="342" t="s">
        <v>301</v>
      </c>
      <c r="AD18" s="342" t="s">
        <v>301</v>
      </c>
    </row>
    <row r="19" spans="1:30" x14ac:dyDescent="0.25">
      <c r="A19" s="353" t="s">
        <v>136</v>
      </c>
      <c r="B19" s="356" t="s">
        <v>252</v>
      </c>
      <c r="C19" s="356" t="s">
        <v>138</v>
      </c>
      <c r="D19" s="354" t="s">
        <v>319</v>
      </c>
      <c r="E19" s="342">
        <f>_xlfn.IFNA(VLOOKUP(AllocationTable[[#This Row],[TRADE]],LatestDump!A:H,2,FALSE),0) + (_xlfn.IFNA(VLOOKUP(AllocationTable[[#This Row],[TRADE]],LongTerm!A:D,4,0),0))</f>
        <v>227.51500000000001</v>
      </c>
      <c r="F19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178.00004395314593</v>
      </c>
      <c r="G19" s="343">
        <f>_xlfn.IFNA(ROUND(VLOOKUP(AllocationTable[[#This Row],[TRADE]],LatestDump!A:H,4,FALSE),2),0)</f>
        <v>264.3</v>
      </c>
      <c r="H19" s="344">
        <v>279</v>
      </c>
      <c r="I19" s="345">
        <f ca="1">AllocationTable[[#This Row],[EA]]-AllocationTable[[#This Row],[AA]]</f>
        <v>0</v>
      </c>
      <c r="J19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19" s="344"/>
      <c r="L19" s="347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19" s="343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19" s="347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19" s="348">
        <f>AllocationTable[[#This Row],[CURRENT VALUE]]-AllocationTable[[#This Row],[AA]]</f>
        <v>19634.534500000009</v>
      </c>
      <c r="P19" s="349">
        <f>IFERROR(AllocationTable[[#This Row],[PROFIT]]/AllocationTable[[#This Row],[AA]],0)</f>
        <v>0.48483109402810254</v>
      </c>
      <c r="Q19" s="355">
        <f>AllocationTable[[#This Row],[QNT]]*AllocationTable[[#This Row],[LTP]]</f>
        <v>60132.214500000009</v>
      </c>
      <c r="R19" s="355">
        <v>40497.68</v>
      </c>
      <c r="S19" s="355">
        <v>0</v>
      </c>
      <c r="T19" s="351">
        <v>0</v>
      </c>
      <c r="U19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40497.68</v>
      </c>
      <c r="V19" s="352">
        <f ca="1">AllocationTable[[#This Row],[AA]]/AllocationTable[[#Totals],[AA]]</f>
        <v>4.6880493887463083E-3</v>
      </c>
      <c r="W19" s="343">
        <f>AllocationTable[[#This Row],[QNT]]*AllocationTable[[#This Row],[AVG.]]</f>
        <v>40497.68</v>
      </c>
      <c r="X19" s="342">
        <v>-1</v>
      </c>
      <c r="Y19" s="342" t="s">
        <v>301</v>
      </c>
      <c r="Z19" s="342" t="s">
        <v>301</v>
      </c>
      <c r="AA19" s="342" t="s">
        <v>301</v>
      </c>
      <c r="AB19" s="342" t="s">
        <v>301</v>
      </c>
      <c r="AC19" s="342" t="s">
        <v>301</v>
      </c>
      <c r="AD19" s="342" t="s">
        <v>301</v>
      </c>
    </row>
    <row r="20" spans="1:30" x14ac:dyDescent="0.25">
      <c r="A20" s="353" t="s">
        <v>258</v>
      </c>
      <c r="B20" s="356" t="s">
        <v>259</v>
      </c>
      <c r="C20" s="356" t="s">
        <v>138</v>
      </c>
      <c r="D20" s="354" t="s">
        <v>319</v>
      </c>
      <c r="E20" s="342">
        <f>_xlfn.IFNA(VLOOKUP(AllocationTable[[#This Row],[TRADE]],LatestDump!A:H,2,FALSE),0) + (_xlfn.IFNA(VLOOKUP(AllocationTable[[#This Row],[TRADE]],LongTerm!A:D,4,0),0))</f>
        <v>340.52100000000002</v>
      </c>
      <c r="F20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32.301708264688521</v>
      </c>
      <c r="G20" s="343">
        <f>_xlfn.IFNA(ROUND(VLOOKUP(AllocationTable[[#This Row],[TRADE]],LatestDump!A:H,4,FALSE),2),0)</f>
        <v>32.79</v>
      </c>
      <c r="H20" s="344">
        <v>35</v>
      </c>
      <c r="I20" s="345">
        <f ca="1">AllocationTable[[#This Row],[EA]]-AllocationTable[[#This Row],[AA]]</f>
        <v>9000.48</v>
      </c>
      <c r="J20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20" s="344"/>
      <c r="L20" s="347" t="str">
        <f ca="1"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34 ,Qnt: 39</v>
      </c>
      <c r="M20" s="343" t="str">
        <f ca="1"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32 ,Qnt: 83</v>
      </c>
      <c r="N20" s="347" t="str">
        <f ca="1"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30 ,Qnt: 154</v>
      </c>
      <c r="O20" s="348">
        <f>AllocationTable[[#This Row],[CURRENT VALUE]]-AllocationTable[[#This Row],[AA]]</f>
        <v>166.27359000000069</v>
      </c>
      <c r="P20" s="349">
        <f>IFERROR(AllocationTable[[#This Row],[PROFIT]]/AllocationTable[[#This Row],[AA]],0)</f>
        <v>1.5116591708100771E-2</v>
      </c>
      <c r="Q20" s="355">
        <f>AllocationTable[[#This Row],[QNT]]*AllocationTable[[#This Row],[LTP]]</f>
        <v>11165.683590000001</v>
      </c>
      <c r="R20" s="355">
        <v>1999.8900000000003</v>
      </c>
      <c r="S20" s="355">
        <v>3000</v>
      </c>
      <c r="T20" s="351">
        <v>0</v>
      </c>
      <c r="U20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19999.89</v>
      </c>
      <c r="V20" s="352">
        <f ca="1">AllocationTable[[#This Row],[AA]]/AllocationTable[[#Totals],[AA]]</f>
        <v>1.2733020095736355E-3</v>
      </c>
      <c r="W20" s="343">
        <f>AllocationTable[[#This Row],[QNT]]*AllocationTable[[#This Row],[AVG.]]</f>
        <v>10999.41</v>
      </c>
      <c r="X20" s="342">
        <v>5</v>
      </c>
      <c r="Y20" s="342" t="s">
        <v>301</v>
      </c>
      <c r="Z20" s="342" t="s">
        <v>301</v>
      </c>
      <c r="AA20" s="342" t="s">
        <v>301</v>
      </c>
      <c r="AB20" s="342" t="s">
        <v>301</v>
      </c>
      <c r="AC20" s="342" t="s">
        <v>301</v>
      </c>
      <c r="AD20" s="342" t="s">
        <v>301</v>
      </c>
    </row>
    <row r="21" spans="1:30" x14ac:dyDescent="0.25">
      <c r="A21" s="353" t="s">
        <v>325</v>
      </c>
      <c r="B21" s="356"/>
      <c r="C21" s="354" t="s">
        <v>138</v>
      </c>
      <c r="D21" s="354" t="s">
        <v>319</v>
      </c>
      <c r="E21" s="342">
        <f>_xlfn.IFNA(VLOOKUP(AllocationTable[[#This Row],[TRADE]],LatestDump!A:H,2,FALSE),0) + (_xlfn.IFNA(VLOOKUP(AllocationTable[[#This Row],[TRADE]],LongTerm!A:D,4,0),0))</f>
        <v>102.803</v>
      </c>
      <c r="F21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442.56957481785554</v>
      </c>
      <c r="G21" s="343">
        <f>_xlfn.IFNA(ROUND(VLOOKUP(AllocationTable[[#This Row],[TRADE]],LatestDump!A:H,4,FALSE),2),0)</f>
        <v>443.03</v>
      </c>
      <c r="H21" s="344">
        <v>461</v>
      </c>
      <c r="I21" s="345">
        <f ca="1">AllocationTable[[#This Row],[EA]]-AllocationTable[[#This Row],[AA]]</f>
        <v>35502.519999999997</v>
      </c>
      <c r="J21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21" s="344"/>
      <c r="L21" s="347" t="str">
        <f ca="1"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438 ,Qnt: 12</v>
      </c>
      <c r="M21" s="343" t="str">
        <f ca="1"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415 ,Qnt: 25</v>
      </c>
      <c r="N21" s="347" t="str">
        <f ca="1"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392 ,Qnt: 45</v>
      </c>
      <c r="O21" s="348">
        <f>AllocationTable[[#This Row],[CURRENT VALUE]]-AllocationTable[[#This Row],[AA]]</f>
        <v>47.333089999992808</v>
      </c>
      <c r="P21" s="349">
        <f>IFERROR(AllocationTable[[#This Row],[PROFIT]]/AllocationTable[[#This Row],[AA]],0)</f>
        <v>1.0403453114324751E-3</v>
      </c>
      <c r="Q21" s="355">
        <f>AllocationTable[[#This Row],[QNT]]*AllocationTable[[#This Row],[LTP]]</f>
        <v>45544.813089999996</v>
      </c>
      <c r="R21" s="355">
        <v>0</v>
      </c>
      <c r="S21" s="355">
        <v>13500</v>
      </c>
      <c r="T21" s="351">
        <v>0</v>
      </c>
      <c r="U21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81000</v>
      </c>
      <c r="V21" s="352">
        <f ca="1">AllocationTable[[#This Row],[AA]]/AllocationTable[[#Totals],[AA]]</f>
        <v>5.2668309222527665E-3</v>
      </c>
      <c r="W21" s="343">
        <f>AllocationTable[[#This Row],[QNT]]*AllocationTable[[#This Row],[AVG.]]</f>
        <v>45497.48</v>
      </c>
      <c r="X21" s="342">
        <v>5</v>
      </c>
      <c r="Y21" s="342"/>
      <c r="Z21" s="342"/>
      <c r="AA21" s="342"/>
      <c r="AB21" s="342"/>
      <c r="AC21" s="342"/>
      <c r="AD21" s="342"/>
    </row>
    <row r="22" spans="1:30" x14ac:dyDescent="0.25">
      <c r="A22" s="370" t="s">
        <v>38</v>
      </c>
      <c r="B22" s="371" t="s">
        <v>36</v>
      </c>
      <c r="C22" s="370" t="s">
        <v>38</v>
      </c>
      <c r="D22" s="370" t="s">
        <v>276</v>
      </c>
      <c r="E22" s="359">
        <f ca="1">_xlfn.IFNA(VLOOKUP(AllocationTable[[#This Row],[TRADE]],LatestDump!A:H,2,FALSE),0) + (_xlfn.IFNA(VLOOKUP(AllocationTable[[#This Row],[TRADE]],LongTerm!A:D,4,0),0))</f>
        <v>103</v>
      </c>
      <c r="F22" s="360">
        <f ca="1">IFERROR(
   (
     _xlfn.IFNA(VLOOKUP(AllocationTable[[#This Row],[TRADE]],LatestDump!A:H,5,FALSE),0) +
     _xlfn.IFNA(VLOOKUP(AllocationTable[[#This Row],[TRADE]],AllocationTable9[[TRADE]:[AA]],14,0),0)
   ) / AllocationTable[[#This Row],[QNT]],
0)</f>
        <v>10098.067961165048</v>
      </c>
      <c r="G22" s="360">
        <f ca="1">_xlfn.IFNA(ROUND(VLOOKUP(AllocationTable[[#This Row],[TRADE]],LatestDump!A:H,4,FALSE),2),0)</f>
        <v>14767.18</v>
      </c>
      <c r="H22" s="346"/>
      <c r="I22" s="361">
        <f ca="1">AllocationTable[[#This Row],[EA]]-AllocationTable[[#This Row],[AA]]</f>
        <v>46545</v>
      </c>
      <c r="J22" s="346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22" s="346"/>
      <c r="L22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SIP</v>
      </c>
      <c r="M22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SIP</v>
      </c>
      <c r="N22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SIP</v>
      </c>
      <c r="O22" s="363">
        <f ca="1">AllocationTable[[#This Row],[CURRENT VALUE]]-AllocationTable[[#This Row],[AA]]</f>
        <v>480918.54000000004</v>
      </c>
      <c r="P22" s="364">
        <f ca="1">IFERROR(AllocationTable[[#This Row],[PROFIT]]/AllocationTable[[#This Row],[AA]],0)</f>
        <v>0.46237676917914705</v>
      </c>
      <c r="Q22" s="372">
        <f ca="1">AllocationTable[[#This Row],[QNT]]*AllocationTable[[#This Row],[LTP]]</f>
        <v>1521019.54</v>
      </c>
      <c r="R22" s="372">
        <v>993556</v>
      </c>
      <c r="S22" s="372">
        <v>15515</v>
      </c>
      <c r="T22" s="366">
        <v>0</v>
      </c>
      <c r="U22" s="361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1086646</v>
      </c>
      <c r="V22" s="367">
        <f ca="1">AllocationTable[[#This Row],[AA]]/AllocationTable[[#Totals],[AA]]</f>
        <v>0.12040306647897915</v>
      </c>
      <c r="W22" s="360">
        <f ca="1">AllocationTable[[#This Row],[QNT]]*AllocationTable[[#This Row],[AVG.]]</f>
        <v>1040101</v>
      </c>
      <c r="X22" s="359">
        <v>0</v>
      </c>
      <c r="Y22" s="359" t="s">
        <v>301</v>
      </c>
      <c r="Z22" s="359" t="s">
        <v>301</v>
      </c>
      <c r="AA22" s="359" t="s">
        <v>301</v>
      </c>
      <c r="AB22" s="359" t="s">
        <v>301</v>
      </c>
      <c r="AC22" s="359" t="s">
        <v>301</v>
      </c>
      <c r="AD22" s="359" t="s">
        <v>301</v>
      </c>
    </row>
    <row r="23" spans="1:30" x14ac:dyDescent="0.25">
      <c r="A23" s="357" t="s">
        <v>41</v>
      </c>
      <c r="B23" s="358" t="s">
        <v>237</v>
      </c>
      <c r="C23" s="358" t="s">
        <v>39</v>
      </c>
      <c r="D23" s="358" t="s">
        <v>41</v>
      </c>
      <c r="E23" s="359">
        <f>_xlfn.IFNA(VLOOKUP(AllocationTable[[#This Row],[TRADE]],LatestDump!A:H,2,FALSE),0) + (_xlfn.IFNA(VLOOKUP(AllocationTable[[#This Row],[TRADE]],LongTerm!A:D,4,0),0))</f>
        <v>1</v>
      </c>
      <c r="F23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23" s="360">
        <f>_xlfn.IFNA(ROUND(VLOOKUP(AllocationTable[[#This Row],[TRADE]],LatestDump!A:H,4,FALSE),2),0)</f>
        <v>0</v>
      </c>
      <c r="H23" s="346"/>
      <c r="I23" s="361">
        <f ca="1">AllocationTable[[#This Row],[EA]]-AllocationTable[[#This Row],[AA]]</f>
        <v>0</v>
      </c>
      <c r="J23" s="346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23" s="346"/>
      <c r="L23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SIP</v>
      </c>
      <c r="M23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SIP</v>
      </c>
      <c r="N23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SIP</v>
      </c>
      <c r="O23" s="363">
        <f>AllocationTable[[#This Row],[CURRENT VALUE]]-AllocationTable[[#This Row],[AA]]</f>
        <v>0</v>
      </c>
      <c r="P23" s="364">
        <f>IFERROR(AllocationTable[[#This Row],[PROFIT]]/AllocationTable[[#This Row],[AA]],0)</f>
        <v>0</v>
      </c>
      <c r="Q23" s="365">
        <f>AllocationTable[[#This Row],[QNT]]*AllocationTable[[#This Row],[LTP]]</f>
        <v>0</v>
      </c>
      <c r="R23" s="365">
        <v>0</v>
      </c>
      <c r="S23" s="365">
        <v>0</v>
      </c>
      <c r="T23" s="366">
        <v>0</v>
      </c>
      <c r="U23" s="346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23" s="367">
        <f ca="1">AllocationTable[[#This Row],[AA]]/AllocationTable[[#Totals],[AA]]</f>
        <v>0</v>
      </c>
      <c r="W23" s="360">
        <f>AllocationTable[[#This Row],[QNT]]*AllocationTable[[#This Row],[AVG.]]</f>
        <v>0</v>
      </c>
      <c r="X23" s="359">
        <v>0</v>
      </c>
      <c r="Y23" s="359" t="s">
        <v>301</v>
      </c>
      <c r="Z23" s="359" t="s">
        <v>301</v>
      </c>
      <c r="AA23" s="359" t="s">
        <v>301</v>
      </c>
      <c r="AB23" s="359" t="s">
        <v>301</v>
      </c>
      <c r="AC23" s="359" t="s">
        <v>301</v>
      </c>
      <c r="AD23" s="359" t="s">
        <v>301</v>
      </c>
    </row>
    <row r="24" spans="1:30" x14ac:dyDescent="0.25">
      <c r="A24" s="340" t="s">
        <v>35</v>
      </c>
      <c r="B24" s="341" t="s">
        <v>140</v>
      </c>
      <c r="C24" s="341" t="s">
        <v>35</v>
      </c>
      <c r="D24" s="341" t="s">
        <v>140</v>
      </c>
      <c r="E24" s="342">
        <f>_xlfn.IFNA(VLOOKUP(AllocationTable[[#This Row],[TRADE]],LatestDump!A:H,2,FALSE),0) + (_xlfn.IFNA(VLOOKUP(AllocationTable[[#This Row],[TRADE]],LongTerm!A:D,4,0),0))</f>
        <v>36</v>
      </c>
      <c r="F24" s="343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5555</v>
      </c>
      <c r="G24" s="343">
        <f>_xlfn.IFNA(ROUND(VLOOKUP(AllocationTable[[#This Row],[TRADE]],LatestDump!A:H,4,FALSE),2),0)</f>
        <v>15285</v>
      </c>
      <c r="H24" s="344">
        <v>17000</v>
      </c>
      <c r="I24" s="345">
        <f ca="1">AllocationTable[[#This Row],[EA]]-AllocationTable[[#This Row],[AA]]</f>
        <v>0</v>
      </c>
      <c r="J24" s="344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24" s="344"/>
      <c r="L24" s="347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24" s="343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24" s="347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24" s="348">
        <f>AllocationTable[[#This Row],[CURRENT VALUE]]-AllocationTable[[#This Row],[AA]]</f>
        <v>350280</v>
      </c>
      <c r="P24" s="349">
        <f>IFERROR(AllocationTable[[#This Row],[PROFIT]]/AllocationTable[[#This Row],[AA]],0)</f>
        <v>1.7515751575157517</v>
      </c>
      <c r="Q24" s="350">
        <f>AllocationTable[[#This Row],[QNT]]*AllocationTable[[#This Row],[LTP]]</f>
        <v>550260</v>
      </c>
      <c r="R24" s="350">
        <v>199980</v>
      </c>
      <c r="S24" s="350">
        <v>0</v>
      </c>
      <c r="T24" s="351">
        <v>0</v>
      </c>
      <c r="U24" s="344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199980</v>
      </c>
      <c r="V24" s="352">
        <f ca="1">AllocationTable[[#This Row],[AA]]/AllocationTable[[#Totals],[AA]]</f>
        <v>2.3149872209012635E-2</v>
      </c>
      <c r="W24" s="343">
        <f>AllocationTable[[#This Row],[QNT]]*AllocationTable[[#This Row],[AVG.]]</f>
        <v>199980</v>
      </c>
      <c r="X24" s="342">
        <v>-1</v>
      </c>
      <c r="Y24" s="342" t="s">
        <v>301</v>
      </c>
      <c r="Z24" s="342" t="s">
        <v>301</v>
      </c>
      <c r="AA24" s="342" t="s">
        <v>301</v>
      </c>
      <c r="AB24" s="342" t="s">
        <v>301</v>
      </c>
      <c r="AC24" s="342" t="s">
        <v>301</v>
      </c>
      <c r="AD24" s="342" t="s">
        <v>301</v>
      </c>
    </row>
    <row r="25" spans="1:30" x14ac:dyDescent="0.25">
      <c r="A25" s="381" t="s">
        <v>62</v>
      </c>
      <c r="B25" s="382" t="s">
        <v>221</v>
      </c>
      <c r="C25" s="382" t="s">
        <v>42</v>
      </c>
      <c r="D25" s="382" t="s">
        <v>302</v>
      </c>
      <c r="E25" s="359">
        <f>_xlfn.IFNA(VLOOKUP(AllocationTable[[#This Row],[TRADE]],LatestDump!A:H,2,FALSE),0) + (_xlfn.IFNA(VLOOKUP(AllocationTable[[#This Row],[TRADE]],LongTerm!A:D,4,0),0))</f>
        <v>255</v>
      </c>
      <c r="F25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117.25999999999999</v>
      </c>
      <c r="G25" s="360">
        <f>_xlfn.IFNA(ROUND(VLOOKUP(AllocationTable[[#This Row],[TRADE]],LatestDump!A:H,4,FALSE),2),0)</f>
        <v>178.02</v>
      </c>
      <c r="H25" s="377">
        <v>216</v>
      </c>
      <c r="I25" s="361">
        <f>AllocationTable[[#This Row],[EA]]-AllocationTable[[#This Row],[AA]]</f>
        <v>-12656.417100000002</v>
      </c>
      <c r="J25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25" s="346"/>
      <c r="L25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204 ,Qnt: -9</v>
      </c>
      <c r="M25" s="362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191 ,Qnt: -21</v>
      </c>
      <c r="N25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178 ,Qnt: -39</v>
      </c>
      <c r="O25" s="363">
        <f>AllocationTable[[#This Row],[CURRENT VALUE]]-AllocationTable[[#This Row],[AA]]</f>
        <v>15493.800000000007</v>
      </c>
      <c r="P25" s="364">
        <f>IFERROR(AllocationTable[[#This Row],[PROFIT]]/AllocationTable[[#This Row],[AA]],0)</f>
        <v>0.5181647620672013</v>
      </c>
      <c r="Q25" s="383">
        <f>AllocationTable[[#This Row],[QNT]]*AllocationTable[[#This Row],[LTP]]</f>
        <v>45395.100000000006</v>
      </c>
      <c r="R25" s="383">
        <v>20092.8</v>
      </c>
      <c r="S25" s="383"/>
      <c r="T25" s="366">
        <v>0.89999999999999991</v>
      </c>
      <c r="U25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17244.882899999997</v>
      </c>
      <c r="V25" s="367">
        <f ca="1">AllocationTable[[#This Row],[AA]]/AllocationTable[[#Totals],[AA]]</f>
        <v>3.461402509667714E-3</v>
      </c>
      <c r="W25" s="360">
        <f>AllocationTable[[#This Row],[QNT]]*AllocationTable[[#This Row],[AVG.]]</f>
        <v>29901.3</v>
      </c>
      <c r="X25" s="359">
        <v>6</v>
      </c>
      <c r="Y25" s="359" t="s">
        <v>311</v>
      </c>
      <c r="Z25" s="359"/>
      <c r="AA25" s="359"/>
      <c r="AB25" s="359"/>
      <c r="AC25" s="359"/>
      <c r="AD25" s="359"/>
    </row>
    <row r="26" spans="1:30" x14ac:dyDescent="0.25">
      <c r="A26" s="381" t="s">
        <v>63</v>
      </c>
      <c r="B26" s="382" t="s">
        <v>221</v>
      </c>
      <c r="C26" s="382" t="s">
        <v>42</v>
      </c>
      <c r="D26" s="382" t="s">
        <v>302</v>
      </c>
      <c r="E26" s="359">
        <f>_xlfn.IFNA(VLOOKUP(AllocationTable[[#This Row],[TRADE]],LatestDump!A:H,2,FALSE),0) + (_xlfn.IFNA(VLOOKUP(AllocationTable[[#This Row],[TRADE]],LongTerm!A:D,4,0),0))</f>
        <v>101</v>
      </c>
      <c r="F26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319.96039603960401</v>
      </c>
      <c r="G26" s="360">
        <f>_xlfn.IFNA(ROUND(VLOOKUP(AllocationTable[[#This Row],[TRADE]],LatestDump!A:H,4,FALSE),2),0)</f>
        <v>863.45</v>
      </c>
      <c r="H26" s="377">
        <v>790</v>
      </c>
      <c r="I26" s="361">
        <f>AllocationTable[[#This Row],[EA]]-AllocationTable[[#This Row],[AA]]</f>
        <v>63488.904999999984</v>
      </c>
      <c r="J26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26" s="346"/>
      <c r="L26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711 ,Qnt: 11</v>
      </c>
      <c r="M26" s="362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632 ,Qnt: 23</v>
      </c>
      <c r="N26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553 ,Qnt: 42</v>
      </c>
      <c r="O26" s="363">
        <f>AllocationTable[[#This Row],[CURRENT VALUE]]-AllocationTable[[#This Row],[AA]]</f>
        <v>54892.450000000012</v>
      </c>
      <c r="P26" s="364">
        <f>IFERROR(AllocationTable[[#This Row],[PROFIT]]/AllocationTable[[#This Row],[AA]],0)</f>
        <v>1.6986152370342866</v>
      </c>
      <c r="Q26" s="383">
        <f>AllocationTable[[#This Row],[QNT]]*AllocationTable[[#This Row],[LTP]]</f>
        <v>87208.450000000012</v>
      </c>
      <c r="R26" s="383">
        <v>33386.959999999999</v>
      </c>
      <c r="S26" s="383"/>
      <c r="T26" s="366">
        <v>5</v>
      </c>
      <c r="U26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95804.904999999984</v>
      </c>
      <c r="V26" s="367">
        <f ca="1">AllocationTable[[#This Row],[AA]]/AllocationTable[[#Totals],[AA]]</f>
        <v>3.7409304445767196E-3</v>
      </c>
      <c r="W26" s="360">
        <f>AllocationTable[[#This Row],[QNT]]*AllocationTable[[#This Row],[AVG.]]</f>
        <v>32316.000000000004</v>
      </c>
      <c r="X26" s="359">
        <v>10</v>
      </c>
      <c r="Y26" s="359" t="s">
        <v>310</v>
      </c>
      <c r="Z26" s="359"/>
      <c r="AA26" s="359"/>
      <c r="AB26" s="359"/>
      <c r="AC26" s="359"/>
      <c r="AD26" s="359"/>
    </row>
    <row r="27" spans="1:30" x14ac:dyDescent="0.25">
      <c r="A27" s="381" t="s">
        <v>68</v>
      </c>
      <c r="B27" s="382" t="s">
        <v>221</v>
      </c>
      <c r="C27" s="382" t="s">
        <v>42</v>
      </c>
      <c r="D27" s="382" t="s">
        <v>303</v>
      </c>
      <c r="E27" s="359">
        <f>_xlfn.IFNA(VLOOKUP(AllocationTable[[#This Row],[TRADE]],LatestDump!A:H,2,FALSE),0) + (_xlfn.IFNA(VLOOKUP(AllocationTable[[#This Row],[TRADE]],LongTerm!A:D,4,0),0))</f>
        <v>200</v>
      </c>
      <c r="F27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161.0403</v>
      </c>
      <c r="G27" s="360">
        <f>_xlfn.IFNA(ROUND(VLOOKUP(AllocationTable[[#This Row],[TRADE]],LatestDump!A:H,4,FALSE),2),0)</f>
        <v>206.25</v>
      </c>
      <c r="H27" s="377">
        <v>194</v>
      </c>
      <c r="I27" s="361">
        <f>AllocationTable[[#This Row],[EA]]-AllocationTable[[#This Row],[AA]]</f>
        <v>-32208.06</v>
      </c>
      <c r="J27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27" s="346"/>
      <c r="L27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27" s="362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27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27" s="363">
        <f>AllocationTable[[#This Row],[CURRENT VALUE]]-AllocationTable[[#This Row],[AA]]</f>
        <v>9041.9399999999987</v>
      </c>
      <c r="P27" s="364">
        <f>IFERROR(AllocationTable[[#This Row],[PROFIT]]/AllocationTable[[#This Row],[AA]],0)</f>
        <v>0.28073531904746818</v>
      </c>
      <c r="Q27" s="383">
        <f>AllocationTable[[#This Row],[QNT]]*AllocationTable[[#This Row],[LTP]]</f>
        <v>41250</v>
      </c>
      <c r="R27" s="383">
        <v>31208.59</v>
      </c>
      <c r="S27" s="383"/>
      <c r="T27" s="366">
        <v>0</v>
      </c>
      <c r="U27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27" s="367">
        <f ca="1">AllocationTable[[#This Row],[AA]]/AllocationTable[[#Totals],[AA]]</f>
        <v>3.7284352090219595E-3</v>
      </c>
      <c r="W27" s="360">
        <f>AllocationTable[[#This Row],[QNT]]*AllocationTable[[#This Row],[AVG.]]</f>
        <v>32208.06</v>
      </c>
      <c r="X27" s="359">
        <v>-1</v>
      </c>
      <c r="Y27" s="359" t="s">
        <v>317</v>
      </c>
      <c r="Z27" s="359">
        <v>0</v>
      </c>
      <c r="AA27" s="359">
        <v>0</v>
      </c>
      <c r="AB27" s="359">
        <v>0</v>
      </c>
      <c r="AC27" s="359">
        <v>0</v>
      </c>
      <c r="AD27" s="359">
        <v>0</v>
      </c>
    </row>
    <row r="28" spans="1:30" x14ac:dyDescent="0.25">
      <c r="A28" s="390" t="s">
        <v>346</v>
      </c>
      <c r="B28" s="391" t="s">
        <v>221</v>
      </c>
      <c r="C28" s="391" t="s">
        <v>42</v>
      </c>
      <c r="D28" s="370" t="s">
        <v>304</v>
      </c>
      <c r="E28" s="359">
        <f>_xlfn.IFNA(VLOOKUP(AllocationTable[[#This Row],[TRADE]],LatestDump!A:H,2,FALSE),0) + (_xlfn.IFNA(VLOOKUP(AllocationTable[[#This Row],[TRADE]],LongTerm!A:D,4,0),0))</f>
        <v>6</v>
      </c>
      <c r="F28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1827.5833333333333</v>
      </c>
      <c r="G28" s="360">
        <f>_xlfn.IFNA(ROUND(VLOOKUP(AllocationTable[[#This Row],[TRADE]],LatestDump!A:H,4,FALSE),2),0)</f>
        <v>1798.8</v>
      </c>
      <c r="H28" s="346">
        <v>1930</v>
      </c>
      <c r="I28" s="361">
        <f>AllocationTable[[#This Row],[EA]]-AllocationTable[[#This Row],[AA]]</f>
        <v>-2753.6510000000017</v>
      </c>
      <c r="J28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Loss</v>
      </c>
      <c r="K28" s="346"/>
      <c r="L28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SIP</v>
      </c>
      <c r="M28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SIP</v>
      </c>
      <c r="N28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SIP</v>
      </c>
      <c r="O28" s="363">
        <f>AllocationTable[[#This Row],[CURRENT VALUE]]-AllocationTable[[#This Row],[AA]]</f>
        <v>-172.70000000000073</v>
      </c>
      <c r="P28" s="364">
        <f>IFERROR(AllocationTable[[#This Row],[PROFIT]]/AllocationTable[[#This Row],[AA]],0)</f>
        <v>-1.574939583238345E-2</v>
      </c>
      <c r="Q28" s="392">
        <f>AllocationTable[[#This Row],[QNT]]*AllocationTable[[#This Row],[LTP]]</f>
        <v>10792.8</v>
      </c>
      <c r="R28" s="372"/>
      <c r="S28" s="372"/>
      <c r="T28" s="366">
        <v>1</v>
      </c>
      <c r="U28" s="361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8211.8489999999983</v>
      </c>
      <c r="V28" s="367">
        <f ca="1">AllocationTable[[#This Row],[AA]]/AllocationTable[[#Totals],[AA]]</f>
        <v>1.2693765561952598E-3</v>
      </c>
      <c r="W28" s="360">
        <f>AllocationTable[[#This Row],[QNT]]*AllocationTable[[#This Row],[AVG.]]</f>
        <v>10965.5</v>
      </c>
      <c r="X28" s="359"/>
      <c r="Y28" s="359"/>
      <c r="Z28" s="359"/>
      <c r="AA28" s="359"/>
      <c r="AB28" s="359"/>
      <c r="AC28" s="359"/>
      <c r="AD28" s="359"/>
    </row>
    <row r="29" spans="1:30" x14ac:dyDescent="0.25">
      <c r="A29" s="390" t="s">
        <v>327</v>
      </c>
      <c r="B29" s="391" t="s">
        <v>221</v>
      </c>
      <c r="C29" s="391" t="s">
        <v>42</v>
      </c>
      <c r="D29" s="370" t="s">
        <v>304</v>
      </c>
      <c r="E29" s="359">
        <f>_xlfn.IFNA(VLOOKUP(AllocationTable[[#This Row],[TRADE]],LatestDump!A:H,2,FALSE),0) + (_xlfn.IFNA(VLOOKUP(AllocationTable[[#This Row],[TRADE]],LongTerm!A:D,4,0),0))</f>
        <v>3</v>
      </c>
      <c r="F29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7086.666666666667</v>
      </c>
      <c r="G29" s="360">
        <f>_xlfn.IFNA(ROUND(VLOOKUP(AllocationTable[[#This Row],[TRADE]],LatestDump!A:H,4,FALSE),2),0)</f>
        <v>7430</v>
      </c>
      <c r="H29" s="346">
        <v>8220</v>
      </c>
      <c r="I29" s="361">
        <f>AllocationTable[[#This Row],[EA]]-AllocationTable[[#This Row],[AA]]</f>
        <v>-21260</v>
      </c>
      <c r="J29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Profit</v>
      </c>
      <c r="K29" s="346"/>
      <c r="L29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SIP</v>
      </c>
      <c r="M29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SIP</v>
      </c>
      <c r="N29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SIP</v>
      </c>
      <c r="O29" s="363">
        <f>AllocationTable[[#This Row],[CURRENT VALUE]]-AllocationTable[[#This Row],[AA]]</f>
        <v>1030</v>
      </c>
      <c r="P29" s="364">
        <f>IFERROR(AllocationTable[[#This Row],[PROFIT]]/AllocationTable[[#This Row],[AA]],0)</f>
        <v>4.8447789275634992E-2</v>
      </c>
      <c r="Q29" s="392">
        <f>AllocationTable[[#This Row],[QNT]]*AllocationTable[[#This Row],[LTP]]</f>
        <v>22290</v>
      </c>
      <c r="R29" s="372"/>
      <c r="S29" s="372"/>
      <c r="T29" s="366"/>
      <c r="U29" s="361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29" s="367">
        <f ca="1">AllocationTable[[#This Row],[AA]]/AllocationTable[[#Totals],[AA]]</f>
        <v>2.4610775235704E-3</v>
      </c>
      <c r="W29" s="360">
        <f>AllocationTable[[#This Row],[QNT]]*AllocationTable[[#This Row],[AVG.]]</f>
        <v>21260</v>
      </c>
      <c r="X29" s="359"/>
      <c r="Y29" s="359"/>
      <c r="Z29" s="359"/>
      <c r="AA29" s="359"/>
      <c r="AB29" s="359"/>
      <c r="AC29" s="359"/>
      <c r="AD29" s="359"/>
    </row>
    <row r="30" spans="1:30" x14ac:dyDescent="0.25">
      <c r="A30" s="381" t="s">
        <v>82</v>
      </c>
      <c r="B30" s="382" t="s">
        <v>221</v>
      </c>
      <c r="C30" s="382" t="s">
        <v>42</v>
      </c>
      <c r="D30" s="382" t="s">
        <v>302</v>
      </c>
      <c r="E30" s="359">
        <f>_xlfn.IFNA(VLOOKUP(AllocationTable[[#This Row],[TRADE]],LatestDump!A:H,2,FALSE),0) + (_xlfn.IFNA(VLOOKUP(AllocationTable[[#This Row],[TRADE]],LongTerm!A:D,4,0),0))</f>
        <v>360</v>
      </c>
      <c r="F30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461.41666666666669</v>
      </c>
      <c r="G30" s="360">
        <f>_xlfn.IFNA(ROUND(VLOOKUP(AllocationTable[[#This Row],[TRADE]],LatestDump!A:H,4,FALSE),2),0)</f>
        <v>730.65</v>
      </c>
      <c r="H30" s="377">
        <v>1125</v>
      </c>
      <c r="I30" s="361">
        <f>AllocationTable[[#This Row],[EA]]-AllocationTable[[#This Row],[AA]]</f>
        <v>-31983.133000000002</v>
      </c>
      <c r="J30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30" s="346"/>
      <c r="L30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1013 ,Qnt: -6</v>
      </c>
      <c r="M30" s="362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900 ,Qnt: -13</v>
      </c>
      <c r="N30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788 ,Qnt: -24</v>
      </c>
      <c r="O30" s="363">
        <f>AllocationTable[[#This Row],[CURRENT VALUE]]-AllocationTable[[#This Row],[AA]]</f>
        <v>96924</v>
      </c>
      <c r="P30" s="364">
        <f>IFERROR(AllocationTable[[#This Row],[PROFIT]]/AllocationTable[[#This Row],[AA]],0)</f>
        <v>0.58349286617301788</v>
      </c>
      <c r="Q30" s="383">
        <f>AllocationTable[[#This Row],[QNT]]*AllocationTable[[#This Row],[LTP]]</f>
        <v>263034</v>
      </c>
      <c r="R30" s="383">
        <v>219001.49999999997</v>
      </c>
      <c r="S30" s="383"/>
      <c r="T30" s="366">
        <v>7</v>
      </c>
      <c r="U30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134126.867</v>
      </c>
      <c r="V30" s="367">
        <f ca="1">AllocationTable[[#This Row],[AA]]/AllocationTable[[#Totals],[AA]]</f>
        <v>1.9229049268122255E-2</v>
      </c>
      <c r="W30" s="360">
        <f>AllocationTable[[#This Row],[QNT]]*AllocationTable[[#This Row],[AVG.]]</f>
        <v>166110</v>
      </c>
      <c r="X30" s="359">
        <v>10</v>
      </c>
      <c r="Y30" s="359" t="s">
        <v>310</v>
      </c>
      <c r="Z30" s="359"/>
      <c r="AA30" s="359"/>
      <c r="AB30" s="359"/>
      <c r="AC30" s="359"/>
      <c r="AD30" s="359"/>
    </row>
    <row r="31" spans="1:30" x14ac:dyDescent="0.25">
      <c r="A31" s="381" t="s">
        <v>86</v>
      </c>
      <c r="B31" s="382" t="s">
        <v>221</v>
      </c>
      <c r="C31" s="382" t="s">
        <v>42</v>
      </c>
      <c r="D31" s="382" t="s">
        <v>302</v>
      </c>
      <c r="E31" s="359">
        <f>_xlfn.IFNA(VLOOKUP(AllocationTable[[#This Row],[TRADE]],LatestDump!A:H,2,FALSE),0) + (_xlfn.IFNA(VLOOKUP(AllocationTable[[#This Row],[TRADE]],LongTerm!A:D,4,0),0))</f>
        <v>10</v>
      </c>
      <c r="F31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4546.37</v>
      </c>
      <c r="G31" s="360">
        <f>_xlfn.IFNA(ROUND(VLOOKUP(AllocationTable[[#This Row],[TRADE]],LatestDump!A:H,4,FALSE),2),0)</f>
        <v>5468.45</v>
      </c>
      <c r="H31" s="377">
        <v>6400</v>
      </c>
      <c r="I31" s="361">
        <f>AllocationTable[[#This Row],[EA]]-AllocationTable[[#This Row],[AA]]</f>
        <v>-28218.8171</v>
      </c>
      <c r="J31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31" s="346"/>
      <c r="L31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6016 ,Qnt: 0</v>
      </c>
      <c r="M31" s="362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5632 ,Qnt: -1</v>
      </c>
      <c r="N31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5248 ,Qnt: -2</v>
      </c>
      <c r="O31" s="363">
        <f>AllocationTable[[#This Row],[CURRENT VALUE]]-AllocationTable[[#This Row],[AA]]</f>
        <v>9220.8000000000029</v>
      </c>
      <c r="P31" s="364">
        <f>IFERROR(AllocationTable[[#This Row],[PROFIT]]/AllocationTable[[#This Row],[AA]],0)</f>
        <v>0.20281675270600508</v>
      </c>
      <c r="Q31" s="383">
        <f>AllocationTable[[#This Row],[QNT]]*AllocationTable[[#This Row],[LTP]]</f>
        <v>54684.5</v>
      </c>
      <c r="R31" s="383">
        <v>34193.699999999997</v>
      </c>
      <c r="S31" s="383"/>
      <c r="T31" s="366">
        <v>0.89999999999999991</v>
      </c>
      <c r="U31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17244.882899999997</v>
      </c>
      <c r="V31" s="367">
        <f ca="1">AllocationTable[[#This Row],[AA]]/AllocationTable[[#Totals],[AA]]</f>
        <v>5.2629205177962173E-3</v>
      </c>
      <c r="W31" s="360">
        <f>AllocationTable[[#This Row],[QNT]]*AllocationTable[[#This Row],[AVG.]]</f>
        <v>45463.7</v>
      </c>
      <c r="X31" s="359">
        <v>6</v>
      </c>
      <c r="Y31" s="359" t="s">
        <v>311</v>
      </c>
      <c r="Z31" s="359"/>
      <c r="AA31" s="359"/>
      <c r="AB31" s="359"/>
      <c r="AC31" s="359"/>
      <c r="AD31" s="359"/>
    </row>
    <row r="32" spans="1:30" x14ac:dyDescent="0.25">
      <c r="A32" s="381" t="s">
        <v>99</v>
      </c>
      <c r="B32" s="382" t="s">
        <v>221</v>
      </c>
      <c r="C32" s="382" t="s">
        <v>42</v>
      </c>
      <c r="D32" s="382" t="s">
        <v>302</v>
      </c>
      <c r="E32" s="359">
        <f>_xlfn.IFNA(VLOOKUP(AllocationTable[[#This Row],[TRADE]],LatestDump!A:H,2,FALSE),0) + (_xlfn.IFNA(VLOOKUP(AllocationTable[[#This Row],[TRADE]],LongTerm!A:D,4,0),0))</f>
        <v>28</v>
      </c>
      <c r="F32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2281.639285714286</v>
      </c>
      <c r="G32" s="360">
        <f>_xlfn.IFNA(ROUND(VLOOKUP(AllocationTable[[#This Row],[TRADE]],LatestDump!A:H,4,FALSE),2),0)</f>
        <v>3261.8</v>
      </c>
      <c r="H32" s="377">
        <v>3840</v>
      </c>
      <c r="I32" s="361">
        <f>AllocationTable[[#This Row],[EA]]-AllocationTable[[#This Row],[AA]]</f>
        <v>-40892.722800000018</v>
      </c>
      <c r="J32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32" s="346"/>
      <c r="L32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3648 ,Qnt: -1</v>
      </c>
      <c r="M32" s="362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3456 ,Qnt: -3</v>
      </c>
      <c r="N32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3264 ,Qnt: -7</v>
      </c>
      <c r="O32" s="363">
        <f>AllocationTable[[#This Row],[CURRENT VALUE]]-AllocationTable[[#This Row],[AA]]</f>
        <v>27444.5</v>
      </c>
      <c r="P32" s="364">
        <f>IFERROR(AllocationTable[[#This Row],[PROFIT]]/AllocationTable[[#This Row],[AA]],0)</f>
        <v>0.42958618411887439</v>
      </c>
      <c r="Q32" s="383">
        <f>AllocationTable[[#This Row],[QNT]]*AllocationTable[[#This Row],[LTP]]</f>
        <v>91330.400000000009</v>
      </c>
      <c r="R32" s="383">
        <v>44495.6</v>
      </c>
      <c r="S32" s="383"/>
      <c r="T32" s="366">
        <v>1.2</v>
      </c>
      <c r="U32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22993.177199999995</v>
      </c>
      <c r="V32" s="367">
        <f ca="1">AllocationTable[[#This Row],[AA]]/AllocationTable[[#Totals],[AA]]</f>
        <v>7.3954916539541978E-3</v>
      </c>
      <c r="W32" s="360">
        <f>AllocationTable[[#This Row],[QNT]]*AllocationTable[[#This Row],[AVG.]]</f>
        <v>63885.900000000009</v>
      </c>
      <c r="X32" s="359">
        <v>5</v>
      </c>
      <c r="Y32" s="359" t="s">
        <v>311</v>
      </c>
      <c r="Z32" s="359"/>
      <c r="AA32" s="359"/>
      <c r="AB32" s="359"/>
      <c r="AC32" s="359"/>
      <c r="AD32" s="359"/>
    </row>
    <row r="33" spans="1:30" x14ac:dyDescent="0.25">
      <c r="A33" s="390" t="s">
        <v>348</v>
      </c>
      <c r="B33" s="391" t="s">
        <v>221</v>
      </c>
      <c r="C33" s="391" t="s">
        <v>42</v>
      </c>
      <c r="D33" s="370" t="s">
        <v>304</v>
      </c>
      <c r="E33" s="359">
        <f>_xlfn.IFNA(VLOOKUP(AllocationTable[[#This Row],[TRADE]],LatestDump!A:H,2,FALSE),0) + (_xlfn.IFNA(VLOOKUP(AllocationTable[[#This Row],[TRADE]],LongTerm!A:D,4,0),0))</f>
        <v>301</v>
      </c>
      <c r="F33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120.36289036544852</v>
      </c>
      <c r="G33" s="360">
        <f>_xlfn.IFNA(ROUND(VLOOKUP(AllocationTable[[#This Row],[TRADE]],LatestDump!A:H,4,FALSE),2),0)</f>
        <v>122.16</v>
      </c>
      <c r="H33" s="346">
        <v>136</v>
      </c>
      <c r="I33" s="361">
        <f>AllocationTable[[#This Row],[EA]]-AllocationTable[[#This Row],[AA]]</f>
        <v>-36229.230000000003</v>
      </c>
      <c r="J33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Profit</v>
      </c>
      <c r="K33" s="346"/>
      <c r="L33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SIP</v>
      </c>
      <c r="M33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SIP</v>
      </c>
      <c r="N33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SIP</v>
      </c>
      <c r="O33" s="363">
        <f>AllocationTable[[#This Row],[CURRENT VALUE]]-AllocationTable[[#This Row],[AA]]</f>
        <v>540.92999999999302</v>
      </c>
      <c r="P33" s="364">
        <f>IFERROR(AllocationTable[[#This Row],[PROFIT]]/AllocationTable[[#This Row],[AA]],0)</f>
        <v>1.4930761708156453E-2</v>
      </c>
      <c r="Q33" s="392">
        <f>AllocationTable[[#This Row],[QNT]]*AllocationTable[[#This Row],[LTP]]</f>
        <v>36770.159999999996</v>
      </c>
      <c r="R33" s="372"/>
      <c r="S33" s="372"/>
      <c r="T33" s="366"/>
      <c r="U33" s="361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33" s="367">
        <f ca="1">AllocationTable[[#This Row],[AA]]/AllocationTable[[#Totals],[AA]]</f>
        <v>4.1939296166162961E-3</v>
      </c>
      <c r="W33" s="360">
        <f>AllocationTable[[#This Row],[QNT]]*AllocationTable[[#This Row],[AVG.]]</f>
        <v>36229.230000000003</v>
      </c>
      <c r="X33" s="359"/>
      <c r="Y33" s="359"/>
      <c r="Z33" s="359"/>
      <c r="AA33" s="359"/>
      <c r="AB33" s="359"/>
      <c r="AC33" s="359"/>
      <c r="AD33" s="359"/>
    </row>
    <row r="34" spans="1:30" x14ac:dyDescent="0.25">
      <c r="A34" s="381" t="s">
        <v>103</v>
      </c>
      <c r="B34" s="382" t="s">
        <v>221</v>
      </c>
      <c r="C34" s="382" t="s">
        <v>42</v>
      </c>
      <c r="D34" s="382" t="s">
        <v>304</v>
      </c>
      <c r="E34" s="359">
        <f>_xlfn.IFNA(VLOOKUP(AllocationTable[[#This Row],[TRADE]],LatestDump!A:H,2,FALSE),0) + (_xlfn.IFNA(VLOOKUP(AllocationTable[[#This Row],[TRADE]],LongTerm!A:D,4,0),0))</f>
        <v>15</v>
      </c>
      <c r="F34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914.2</v>
      </c>
      <c r="G34" s="360">
        <f>_xlfn.IFNA(ROUND(VLOOKUP(AllocationTable[[#This Row],[TRADE]],LatestDump!A:H,4,FALSE),2),0)</f>
        <v>1184.25</v>
      </c>
      <c r="H34" s="377">
        <v>1715</v>
      </c>
      <c r="I34" s="361">
        <f>AllocationTable[[#This Row],[EA]]-AllocationTable[[#This Row],[AA]]</f>
        <v>-574.04160000000229</v>
      </c>
      <c r="J34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Profit</v>
      </c>
      <c r="K34" s="346"/>
      <c r="L34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1544 ,Qnt: 0</v>
      </c>
      <c r="M34" s="362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1372 ,Qnt: 0</v>
      </c>
      <c r="N34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1201 ,Qnt: 0</v>
      </c>
      <c r="O34" s="363">
        <f>AllocationTable[[#This Row],[CURRENT VALUE]]-AllocationTable[[#This Row],[AA]]</f>
        <v>4050.75</v>
      </c>
      <c r="P34" s="364">
        <f>IFERROR(AllocationTable[[#This Row],[PROFIT]]/AllocationTable[[#This Row],[AA]],0)</f>
        <v>0.2953948807700722</v>
      </c>
      <c r="Q34" s="383">
        <f>AllocationTable[[#This Row],[QNT]]*AllocationTable[[#This Row],[LTP]]</f>
        <v>17763.75</v>
      </c>
      <c r="R34" s="383">
        <v>57586.249999999993</v>
      </c>
      <c r="S34" s="383"/>
      <c r="T34" s="366">
        <v>1.6</v>
      </c>
      <c r="U34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13138.958399999998</v>
      </c>
      <c r="V34" s="367">
        <f ca="1">AllocationTable[[#This Row],[AA]]/AllocationTable[[#Totals],[AA]]</f>
        <v>1.5874297309840496E-3</v>
      </c>
      <c r="W34" s="360">
        <f>AllocationTable[[#This Row],[QNT]]*AllocationTable[[#This Row],[AVG.]]</f>
        <v>13713</v>
      </c>
      <c r="X34" s="359">
        <v>10</v>
      </c>
      <c r="Y34" s="359" t="s">
        <v>310</v>
      </c>
      <c r="Z34" s="359">
        <v>-12</v>
      </c>
      <c r="AA34" s="359">
        <v>-12</v>
      </c>
      <c r="AB34" s="359">
        <v>15</v>
      </c>
      <c r="AC34" s="359">
        <v>25</v>
      </c>
      <c r="AD34" s="359" t="s">
        <v>316</v>
      </c>
    </row>
    <row r="35" spans="1:30" x14ac:dyDescent="0.25">
      <c r="A35" s="390" t="s">
        <v>349</v>
      </c>
      <c r="B35" s="391" t="s">
        <v>221</v>
      </c>
      <c r="C35" s="391" t="s">
        <v>42</v>
      </c>
      <c r="D35" s="370" t="s">
        <v>304</v>
      </c>
      <c r="E35" s="359">
        <f>_xlfn.IFNA(VLOOKUP(AllocationTable[[#This Row],[TRADE]],LatestDump!A:H,2,FALSE),0) + (_xlfn.IFNA(VLOOKUP(AllocationTable[[#This Row],[TRADE]],LongTerm!A:D,4,0),0))</f>
        <v>2</v>
      </c>
      <c r="F35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3320</v>
      </c>
      <c r="G35" s="360">
        <f>_xlfn.IFNA(ROUND(VLOOKUP(AllocationTable[[#This Row],[TRADE]],LatestDump!A:H,4,FALSE),2),0)</f>
        <v>3390.1</v>
      </c>
      <c r="H35" s="346">
        <v>3440</v>
      </c>
      <c r="I35" s="361">
        <f>AllocationTable[[#This Row],[EA]]-AllocationTable[[#This Row],[AA]]</f>
        <v>-6640</v>
      </c>
      <c r="J35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Profit</v>
      </c>
      <c r="K35" s="346"/>
      <c r="L35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SIP</v>
      </c>
      <c r="M35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SIP</v>
      </c>
      <c r="N35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SIP</v>
      </c>
      <c r="O35" s="363">
        <f>AllocationTable[[#This Row],[CURRENT VALUE]]-AllocationTable[[#This Row],[AA]]</f>
        <v>140.19999999999982</v>
      </c>
      <c r="P35" s="364">
        <f>IFERROR(AllocationTable[[#This Row],[PROFIT]]/AllocationTable[[#This Row],[AA]],0)</f>
        <v>2.1114457831325272E-2</v>
      </c>
      <c r="Q35" s="392">
        <f>AllocationTable[[#This Row],[QNT]]*AllocationTable[[#This Row],[LTP]]</f>
        <v>6780.2</v>
      </c>
      <c r="R35" s="372"/>
      <c r="S35" s="372"/>
      <c r="T35" s="366"/>
      <c r="U35" s="361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35" s="367">
        <f ca="1">AllocationTable[[#This Row],[AA]]/AllocationTable[[#Totals],[AA]]</f>
        <v>7.6865262260147958E-4</v>
      </c>
      <c r="W35" s="360">
        <f>AllocationTable[[#This Row],[QNT]]*AllocationTable[[#This Row],[AVG.]]</f>
        <v>6640</v>
      </c>
      <c r="X35" s="359"/>
      <c r="Y35" s="359"/>
      <c r="Z35" s="359"/>
      <c r="AA35" s="359"/>
      <c r="AB35" s="359"/>
      <c r="AC35" s="359"/>
      <c r="AD35" s="359"/>
    </row>
    <row r="36" spans="1:30" x14ac:dyDescent="0.25">
      <c r="A36" s="390" t="s">
        <v>350</v>
      </c>
      <c r="B36" s="391" t="s">
        <v>221</v>
      </c>
      <c r="C36" s="391" t="s">
        <v>42</v>
      </c>
      <c r="D36" s="370" t="s">
        <v>304</v>
      </c>
      <c r="E36" s="359">
        <f>_xlfn.IFNA(VLOOKUP(AllocationTable[[#This Row],[TRADE]],LatestDump!A:H,2,FALSE),0) + (_xlfn.IFNA(VLOOKUP(AllocationTable[[#This Row],[TRADE]],LongTerm!A:D,4,0),0))</f>
        <v>21</v>
      </c>
      <c r="F36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504.39047619047625</v>
      </c>
      <c r="G36" s="360">
        <f>_xlfn.IFNA(ROUND(VLOOKUP(AllocationTable[[#This Row],[TRADE]],LatestDump!A:H,4,FALSE),2),0)</f>
        <v>554.25</v>
      </c>
      <c r="H36" s="346">
        <v>550</v>
      </c>
      <c r="I36" s="361">
        <f>AllocationTable[[#This Row],[EA]]-AllocationTable[[#This Row],[AA]]</f>
        <v>-10592.2</v>
      </c>
      <c r="J36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Profit</v>
      </c>
      <c r="K36" s="346"/>
      <c r="L36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SIP</v>
      </c>
      <c r="M36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SIP</v>
      </c>
      <c r="N36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SIP</v>
      </c>
      <c r="O36" s="363">
        <f>AllocationTable[[#This Row],[CURRENT VALUE]]-AllocationTable[[#This Row],[AA]]</f>
        <v>1047.0499999999993</v>
      </c>
      <c r="P36" s="364">
        <f>IFERROR(AllocationTable[[#This Row],[PROFIT]]/AllocationTable[[#This Row],[AA]],0)</f>
        <v>9.8851041332301048E-2</v>
      </c>
      <c r="Q36" s="392">
        <f>AllocationTable[[#This Row],[QNT]]*AllocationTable[[#This Row],[LTP]]</f>
        <v>11639.25</v>
      </c>
      <c r="R36" s="372"/>
      <c r="S36" s="372"/>
      <c r="T36" s="366"/>
      <c r="U36" s="361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36" s="367">
        <f ca="1">AllocationTable[[#This Row],[AA]]/AllocationTable[[#Totals],[AA]]</f>
        <v>1.2261629983613543E-3</v>
      </c>
      <c r="W36" s="360">
        <f>AllocationTable[[#This Row],[QNT]]*AllocationTable[[#This Row],[AVG.]]</f>
        <v>10592.2</v>
      </c>
      <c r="X36" s="359"/>
      <c r="Y36" s="359"/>
      <c r="Z36" s="359"/>
      <c r="AA36" s="359"/>
      <c r="AB36" s="359"/>
      <c r="AC36" s="359"/>
      <c r="AD36" s="359"/>
    </row>
    <row r="37" spans="1:30" x14ac:dyDescent="0.25">
      <c r="A37" s="381" t="s">
        <v>118</v>
      </c>
      <c r="B37" s="382" t="s">
        <v>221</v>
      </c>
      <c r="C37" s="382" t="s">
        <v>42</v>
      </c>
      <c r="D37" s="382" t="s">
        <v>302</v>
      </c>
      <c r="E37" s="359">
        <f>_xlfn.IFNA(VLOOKUP(AllocationTable[[#This Row],[TRADE]],LatestDump!A:H,2,FALSE),0) + (_xlfn.IFNA(VLOOKUP(AllocationTable[[#This Row],[TRADE]],LongTerm!A:D,4,0),0))</f>
        <v>141</v>
      </c>
      <c r="F37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255.21992907801419</v>
      </c>
      <c r="G37" s="360">
        <f>_xlfn.IFNA(ROUND(VLOOKUP(AllocationTable[[#This Row],[TRADE]],LatestDump!A:H,4,FALSE),2),0)</f>
        <v>444.55</v>
      </c>
      <c r="H37" s="377">
        <v>509</v>
      </c>
      <c r="I37" s="361">
        <f>AllocationTable[[#This Row],[EA]]-AllocationTable[[#This Row],[AA]]</f>
        <v>2335.9519999999902</v>
      </c>
      <c r="J37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37" s="346"/>
      <c r="L37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459 ,Qnt: 1</v>
      </c>
      <c r="M37" s="362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408 ,Qnt: 2</v>
      </c>
      <c r="N37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357 ,Qnt: 3</v>
      </c>
      <c r="O37" s="363">
        <f>AllocationTable[[#This Row],[CURRENT VALUE]]-AllocationTable[[#This Row],[AA]]</f>
        <v>26695.54</v>
      </c>
      <c r="P37" s="364">
        <f>IFERROR(AllocationTable[[#This Row],[PROFIT]]/AllocationTable[[#This Row],[AA]],0)</f>
        <v>0.74183106157087153</v>
      </c>
      <c r="Q37" s="383">
        <f>AllocationTable[[#This Row],[QNT]]*AllocationTable[[#This Row],[LTP]]</f>
        <v>62681.55</v>
      </c>
      <c r="R37" s="383">
        <v>21834.21</v>
      </c>
      <c r="S37" s="383"/>
      <c r="T37" s="366">
        <v>2</v>
      </c>
      <c r="U37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38321.961999999992</v>
      </c>
      <c r="V37" s="367">
        <f ca="1">AllocationTable[[#This Row],[AA]]/AllocationTable[[#Totals],[AA]]</f>
        <v>4.1657742414854025E-3</v>
      </c>
      <c r="W37" s="360">
        <f>AllocationTable[[#This Row],[QNT]]*AllocationTable[[#This Row],[AVG.]]</f>
        <v>35986.01</v>
      </c>
      <c r="X37" s="359">
        <v>10</v>
      </c>
      <c r="Y37" s="359" t="s">
        <v>314</v>
      </c>
      <c r="Z37" s="359"/>
      <c r="AA37" s="359"/>
      <c r="AB37" s="359"/>
      <c r="AC37" s="359"/>
      <c r="AD37" s="359"/>
    </row>
    <row r="38" spans="1:30" x14ac:dyDescent="0.25">
      <c r="A38" s="390" t="s">
        <v>357</v>
      </c>
      <c r="B38" s="468" t="s">
        <v>221</v>
      </c>
      <c r="C38" s="391" t="s">
        <v>42</v>
      </c>
      <c r="D38" s="472" t="s">
        <v>304</v>
      </c>
      <c r="E38" s="469">
        <f>_xlfn.IFNA(VLOOKUP(AllocationTable[[#This Row],[TRADE]],LatestDump!A:H,2,FALSE),0) + (_xlfn.IFNA(VLOOKUP(AllocationTable[[#This Row],[TRADE]],LongTerm!A:D,4,0),0))</f>
        <v>1</v>
      </c>
      <c r="F38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7410</v>
      </c>
      <c r="G38" s="360">
        <f>_xlfn.IFNA(ROUND(VLOOKUP(AllocationTable[[#This Row],[TRADE]],LatestDump!A:H,4,FALSE),2),0)</f>
        <v>7424</v>
      </c>
      <c r="H38" s="346">
        <v>9000</v>
      </c>
      <c r="I38" s="361">
        <f>AllocationTable[[#This Row],[EA]]-AllocationTable[[#This Row],[AA]]</f>
        <v>9013.6979999999967</v>
      </c>
      <c r="J38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Profit</v>
      </c>
      <c r="K38" s="346"/>
      <c r="L38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8100 ,Qnt: 1</v>
      </c>
      <c r="M38" s="362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7200 ,Qnt: 1</v>
      </c>
      <c r="N38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6300 ,Qnt: 1</v>
      </c>
      <c r="O38" s="363">
        <f>AllocationTable[[#This Row],[CURRENT VALUE]]-AllocationTable[[#This Row],[AA]]</f>
        <v>14</v>
      </c>
      <c r="P38" s="470">
        <f>IFERROR(AllocationTable[[#This Row],[PROFIT]]/AllocationTable[[#This Row],[AA]],0)</f>
        <v>1.8893387314439945E-3</v>
      </c>
      <c r="Q38" s="471">
        <f>AllocationTable[[#This Row],[QNT]]*AllocationTable[[#This Row],[LTP]]</f>
        <v>7424</v>
      </c>
      <c r="R38" s="383"/>
      <c r="S38" s="383"/>
      <c r="T38" s="366">
        <v>2</v>
      </c>
      <c r="U38" s="361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16423.697999999997</v>
      </c>
      <c r="V38" s="367">
        <f ca="1">AllocationTable[[#This Row],[AA]]/AllocationTable[[#Totals],[AA]]</f>
        <v>8.5778854419833793E-4</v>
      </c>
      <c r="W38" s="360">
        <f>AllocationTable[[#This Row],[QNT]]*AllocationTable[[#This Row],[AVG.]]</f>
        <v>7410</v>
      </c>
      <c r="X38" s="359">
        <v>10</v>
      </c>
      <c r="Y38" s="469"/>
      <c r="Z38" s="469"/>
      <c r="AA38" s="469"/>
      <c r="AB38" s="469"/>
      <c r="AC38" s="469"/>
      <c r="AD38" s="469"/>
    </row>
    <row r="39" spans="1:30" x14ac:dyDescent="0.25">
      <c r="A39" s="381" t="s">
        <v>119</v>
      </c>
      <c r="B39" s="382" t="s">
        <v>221</v>
      </c>
      <c r="C39" s="382" t="s">
        <v>42</v>
      </c>
      <c r="D39" s="382" t="s">
        <v>302</v>
      </c>
      <c r="E39" s="359">
        <f>_xlfn.IFNA(VLOOKUP(AllocationTable[[#This Row],[TRADE]],LatestDump!A:H,2,FALSE),0) + (_xlfn.IFNA(VLOOKUP(AllocationTable[[#This Row],[TRADE]],LongTerm!A:D,4,0),0))</f>
        <v>70</v>
      </c>
      <c r="F39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341.35</v>
      </c>
      <c r="G39" s="360">
        <f>_xlfn.IFNA(ROUND(VLOOKUP(AllocationTable[[#This Row],[TRADE]],LatestDump!A:H,4,FALSE),2),0)</f>
        <v>342.6</v>
      </c>
      <c r="H39" s="377">
        <v>420</v>
      </c>
      <c r="I39" s="361">
        <f>AllocationTable[[#This Row],[EA]]-AllocationTable[[#This Row],[AA]]</f>
        <v>-8565.7152000000024</v>
      </c>
      <c r="J39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39" s="346"/>
      <c r="L39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378 ,Qnt: -3</v>
      </c>
      <c r="M39" s="362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336 ,Qnt: -7</v>
      </c>
      <c r="N39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294 ,Qnt: -14</v>
      </c>
      <c r="O39" s="363">
        <f>AllocationTable[[#This Row],[CURRENT VALUE]]-AllocationTable[[#This Row],[AA]]</f>
        <v>87.5</v>
      </c>
      <c r="P39" s="364">
        <f>IFERROR(AllocationTable[[#This Row],[PROFIT]]/AllocationTable[[#This Row],[AA]],0)</f>
        <v>3.6619305697963966E-3</v>
      </c>
      <c r="Q39" s="383">
        <f>AllocationTable[[#This Row],[QNT]]*AllocationTable[[#This Row],[LTP]]</f>
        <v>23982</v>
      </c>
      <c r="R39" s="383">
        <v>45072.34</v>
      </c>
      <c r="S39" s="383"/>
      <c r="T39" s="366">
        <v>0.8</v>
      </c>
      <c r="U39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15328.784799999998</v>
      </c>
      <c r="V39" s="367">
        <f ca="1">AllocationTable[[#This Row],[AA]]/AllocationTable[[#Totals],[AA]]</f>
        <v>2.7660497124625083E-3</v>
      </c>
      <c r="W39" s="360">
        <f>AllocationTable[[#This Row],[QNT]]*AllocationTable[[#This Row],[AVG.]]</f>
        <v>23894.5</v>
      </c>
      <c r="X39" s="359">
        <v>10</v>
      </c>
      <c r="Y39" s="359" t="s">
        <v>314</v>
      </c>
      <c r="Z39" s="359">
        <v>-8</v>
      </c>
      <c r="AA39" s="359">
        <v>-8</v>
      </c>
      <c r="AB39" s="359">
        <v>0</v>
      </c>
      <c r="AC39" s="359">
        <v>15</v>
      </c>
      <c r="AD39" s="359" t="s">
        <v>315</v>
      </c>
    </row>
    <row r="40" spans="1:30" x14ac:dyDescent="0.25">
      <c r="A40" s="401" t="s">
        <v>122</v>
      </c>
      <c r="B40" s="402" t="s">
        <v>231</v>
      </c>
      <c r="C40" s="402" t="s">
        <v>42</v>
      </c>
      <c r="D40" s="402" t="s">
        <v>303</v>
      </c>
      <c r="E40" s="359">
        <f>_xlfn.IFNA(VLOOKUP(AllocationTable[[#This Row],[TRADE]],LatestDump!A:H,2,FALSE),0) + (_xlfn.IFNA(VLOOKUP(AllocationTable[[#This Row],[TRADE]],LongTerm!A:D,4,0),0))</f>
        <v>1</v>
      </c>
      <c r="F40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11674</v>
      </c>
      <c r="G40" s="360">
        <f>_xlfn.IFNA(ROUND(VLOOKUP(AllocationTable[[#This Row],[TRADE]],LatestDump!A:H,4,FALSE),2),0)</f>
        <v>11589.9</v>
      </c>
      <c r="H40" s="346">
        <v>12000</v>
      </c>
      <c r="I40" s="361">
        <f>AllocationTable[[#This Row],[EA]]-AllocationTable[[#This Row],[AA]]</f>
        <v>-11674</v>
      </c>
      <c r="J40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40" s="346"/>
      <c r="L40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40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40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40" s="363">
        <f>AllocationTable[[#This Row],[CURRENT VALUE]]-AllocationTable[[#This Row],[AA]]</f>
        <v>-84.100000000000364</v>
      </c>
      <c r="P40" s="364">
        <f>IFERROR(AllocationTable[[#This Row],[PROFIT]]/AllocationTable[[#This Row],[AA]],0)</f>
        <v>-7.2040431728628033E-3</v>
      </c>
      <c r="Q40" s="403">
        <f>AllocationTable[[#This Row],[QNT]]*AllocationTable[[#This Row],[LTP]]</f>
        <v>11589.9</v>
      </c>
      <c r="R40" s="403">
        <v>20494.849999999999</v>
      </c>
      <c r="S40" s="403"/>
      <c r="T40" s="366">
        <v>0</v>
      </c>
      <c r="U40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40" s="367">
        <f ca="1">AllocationTable[[#This Row],[AA]]/AllocationTable[[#Totals],[AA]]</f>
        <v>1.3513931801580833E-3</v>
      </c>
      <c r="W40" s="360">
        <f>AllocationTable[[#This Row],[QNT]]*AllocationTable[[#This Row],[AVG.]]</f>
        <v>11674</v>
      </c>
      <c r="X40" s="359">
        <v>-1</v>
      </c>
      <c r="Y40" s="359" t="s">
        <v>317</v>
      </c>
      <c r="Z40" s="359">
        <v>0</v>
      </c>
      <c r="AA40" s="359">
        <v>0</v>
      </c>
      <c r="AB40" s="359">
        <v>0</v>
      </c>
      <c r="AC40" s="359">
        <v>0</v>
      </c>
      <c r="AD40" s="359">
        <v>0</v>
      </c>
    </row>
    <row r="41" spans="1:30" x14ac:dyDescent="0.25">
      <c r="A41" s="384" t="s">
        <v>79</v>
      </c>
      <c r="B41" s="385" t="s">
        <v>224</v>
      </c>
      <c r="C41" s="385" t="s">
        <v>42</v>
      </c>
      <c r="D41" s="385" t="s">
        <v>304</v>
      </c>
      <c r="E41" s="359">
        <f>_xlfn.IFNA(VLOOKUP(AllocationTable[[#This Row],[TRADE]],LatestDump!A:H,2,FALSE),0) + (_xlfn.IFNA(VLOOKUP(AllocationTable[[#This Row],[TRADE]],LongTerm!A:D,4,0),0))</f>
        <v>25</v>
      </c>
      <c r="F41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910.08800000000008</v>
      </c>
      <c r="G41" s="360">
        <f>_xlfn.IFNA(ROUND(VLOOKUP(AllocationTable[[#This Row],[TRADE]],LatestDump!A:H,4,FALSE),2),0)</f>
        <v>892.05</v>
      </c>
      <c r="H41" s="346">
        <v>1390</v>
      </c>
      <c r="I41" s="361">
        <f>AllocationTable[[#This Row],[EA]]-AllocationTable[[#This Row],[AA]]</f>
        <v>-12897.981200000004</v>
      </c>
      <c r="J41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41" s="346"/>
      <c r="L41" s="375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1251 ,Qnt: -2</v>
      </c>
      <c r="M41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1112 ,Qnt: -4</v>
      </c>
      <c r="N41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973 ,Qnt: -8</v>
      </c>
      <c r="O41" s="363">
        <f>AllocationTable[[#This Row],[CURRENT VALUE]]-AllocationTable[[#This Row],[AA]]</f>
        <v>-450.95000000000073</v>
      </c>
      <c r="P41" s="364">
        <f>IFERROR(AllocationTable[[#This Row],[PROFIT]]/AllocationTable[[#This Row],[AA]],0)</f>
        <v>-1.9820061356704E-2</v>
      </c>
      <c r="Q41" s="386">
        <f>AllocationTable[[#This Row],[QNT]]*AllocationTable[[#This Row],[LTP]]</f>
        <v>22301.25</v>
      </c>
      <c r="R41" s="386">
        <v>43308.85</v>
      </c>
      <c r="S41" s="386"/>
      <c r="T41" s="366">
        <v>1.2</v>
      </c>
      <c r="U41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9854.2187999999969</v>
      </c>
      <c r="V41" s="367">
        <f ca="1">AllocationTable[[#This Row],[AA]]/AllocationTable[[#Totals],[AA]]</f>
        <v>2.6338159939688832E-3</v>
      </c>
      <c r="W41" s="360">
        <f>AllocationTable[[#This Row],[QNT]]*AllocationTable[[#This Row],[AVG.]]</f>
        <v>22752.2</v>
      </c>
      <c r="X41" s="359">
        <v>10</v>
      </c>
      <c r="Y41" s="359" t="s">
        <v>312</v>
      </c>
      <c r="Z41" s="359">
        <v>-10</v>
      </c>
      <c r="AA41" s="359">
        <v>-10</v>
      </c>
      <c r="AB41" s="359">
        <v>15</v>
      </c>
      <c r="AC41" s="359">
        <v>20</v>
      </c>
      <c r="AD41" s="359" t="s">
        <v>313</v>
      </c>
    </row>
    <row r="42" spans="1:30" x14ac:dyDescent="0.25">
      <c r="A42" s="390" t="s">
        <v>95</v>
      </c>
      <c r="B42" s="391" t="s">
        <v>235</v>
      </c>
      <c r="C42" s="391" t="s">
        <v>42</v>
      </c>
      <c r="D42" s="391" t="s">
        <v>302</v>
      </c>
      <c r="E42" s="359">
        <f>_xlfn.IFNA(VLOOKUP(AllocationTable[[#This Row],[TRADE]],LatestDump!A:H,2,FALSE),0) + (_xlfn.IFNA(VLOOKUP(AllocationTable[[#This Row],[TRADE]],LongTerm!A:D,4,0),0))</f>
        <v>7</v>
      </c>
      <c r="F42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1385.6000000000001</v>
      </c>
      <c r="G42" s="360">
        <f>_xlfn.IFNA(ROUND(VLOOKUP(AllocationTable[[#This Row],[TRADE]],LatestDump!A:H,4,FALSE),2),0)</f>
        <v>1477.7</v>
      </c>
      <c r="H42" s="346">
        <v>1750</v>
      </c>
      <c r="I42" s="361">
        <f>AllocationTable[[#This Row],[EA]]-AllocationTable[[#This Row],[AA]]</f>
        <v>13293.977199999994</v>
      </c>
      <c r="J42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42" s="346"/>
      <c r="L42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1575 ,Qnt: 2</v>
      </c>
      <c r="M42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1400 ,Qnt: 3</v>
      </c>
      <c r="N42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1225 ,Qnt: 6</v>
      </c>
      <c r="O42" s="363">
        <f>AllocationTable[[#This Row],[CURRENT VALUE]]-AllocationTable[[#This Row],[AA]]</f>
        <v>644.69999999999891</v>
      </c>
      <c r="P42" s="364">
        <f>IFERROR(AllocationTable[[#This Row],[PROFIT]]/AllocationTable[[#This Row],[AA]],0)</f>
        <v>6.6469399538106114E-2</v>
      </c>
      <c r="Q42" s="392">
        <f>AllocationTable[[#This Row],[QNT]]*AllocationTable[[#This Row],[LTP]]</f>
        <v>10343.9</v>
      </c>
      <c r="R42" s="392">
        <v>7900</v>
      </c>
      <c r="S42" s="392"/>
      <c r="T42" s="366">
        <v>1.2</v>
      </c>
      <c r="U42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22993.177199999995</v>
      </c>
      <c r="V42" s="367">
        <f ca="1">AllocationTable[[#This Row],[AA]]/AllocationTable[[#Totals],[AA]]</f>
        <v>1.1227884814964265E-3</v>
      </c>
      <c r="W42" s="360">
        <f>AllocationTable[[#This Row],[QNT]]*AllocationTable[[#This Row],[AVG.]]</f>
        <v>9699.2000000000007</v>
      </c>
      <c r="X42" s="359">
        <v>10</v>
      </c>
      <c r="Y42" s="359" t="s">
        <v>312</v>
      </c>
      <c r="Z42" s="359"/>
      <c r="AA42" s="359"/>
      <c r="AB42" s="359"/>
      <c r="AC42" s="359"/>
      <c r="AD42" s="359"/>
    </row>
    <row r="43" spans="1:30" x14ac:dyDescent="0.25">
      <c r="A43" s="373" t="s">
        <v>97</v>
      </c>
      <c r="B43" s="374" t="s">
        <v>227</v>
      </c>
      <c r="C43" s="374" t="s">
        <v>42</v>
      </c>
      <c r="D43" s="374" t="s">
        <v>302</v>
      </c>
      <c r="E43" s="359">
        <f>_xlfn.IFNA(VLOOKUP(AllocationTable[[#This Row],[TRADE]],LatestDump!A:H,2,FALSE),0) + (_xlfn.IFNA(VLOOKUP(AllocationTable[[#This Row],[TRADE]],LongTerm!A:D,4,0),0))</f>
        <v>7</v>
      </c>
      <c r="F43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5921.5357142857147</v>
      </c>
      <c r="G43" s="360">
        <f>_xlfn.IFNA(ROUND(VLOOKUP(AllocationTable[[#This Row],[TRADE]],LatestDump!A:H,4,FALSE),2),0)</f>
        <v>7190.85</v>
      </c>
      <c r="H43" s="346">
        <v>7900</v>
      </c>
      <c r="I43" s="361">
        <f>AllocationTable[[#This Row],[EA]]-AllocationTable[[#This Row],[AA]]</f>
        <v>4535.6043999999893</v>
      </c>
      <c r="J43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43" s="346"/>
      <c r="L43" s="375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7268 ,Qnt: 1</v>
      </c>
      <c r="M43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6636 ,Qnt: 1</v>
      </c>
      <c r="N43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6004 ,Qnt: 1</v>
      </c>
      <c r="O43" s="363">
        <f>AllocationTable[[#This Row],[CURRENT VALUE]]-AllocationTable[[#This Row],[AA]]</f>
        <v>8885.2000000000044</v>
      </c>
      <c r="P43" s="364">
        <f>IFERROR(AllocationTable[[#This Row],[PROFIT]]/AllocationTable[[#This Row],[AA]],0)</f>
        <v>0.21435559067085649</v>
      </c>
      <c r="Q43" s="376">
        <f>AllocationTable[[#This Row],[QNT]]*AllocationTable[[#This Row],[LTP]]</f>
        <v>50335.950000000004</v>
      </c>
      <c r="R43" s="376">
        <v>35645.75</v>
      </c>
      <c r="S43" s="376"/>
      <c r="T43" s="366">
        <v>2.4</v>
      </c>
      <c r="U43" s="377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45986.354399999989</v>
      </c>
      <c r="V43" s="367">
        <f ca="1">AllocationTable[[#This Row],[AA]]/AllocationTable[[#Totals],[AA]]</f>
        <v>4.7983776651051623E-3</v>
      </c>
      <c r="W43" s="377">
        <f>AllocationTable[[#This Row],[QNT]]*AllocationTable[[#This Row],[AVG.]]</f>
        <v>41450.75</v>
      </c>
      <c r="X43" s="359">
        <v>8</v>
      </c>
      <c r="Y43" s="359" t="s">
        <v>310</v>
      </c>
      <c r="Z43" s="359"/>
      <c r="AA43" s="359"/>
      <c r="AB43" s="359"/>
      <c r="AC43" s="359"/>
      <c r="AD43" s="359"/>
    </row>
    <row r="44" spans="1:30" x14ac:dyDescent="0.25">
      <c r="A44" s="373" t="s">
        <v>102</v>
      </c>
      <c r="B44" s="374" t="s">
        <v>227</v>
      </c>
      <c r="C44" s="374" t="s">
        <v>42</v>
      </c>
      <c r="D44" s="374" t="s">
        <v>304</v>
      </c>
      <c r="E44" s="359">
        <f>_xlfn.IFNA(VLOOKUP(AllocationTable[[#This Row],[TRADE]],LatestDump!A:H,2,FALSE),0) + (_xlfn.IFNA(VLOOKUP(AllocationTable[[#This Row],[TRADE]],LongTerm!A:D,4,0),0))</f>
        <v>100</v>
      </c>
      <c r="F44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87.99</v>
      </c>
      <c r="G44" s="360">
        <f>_xlfn.IFNA(ROUND(VLOOKUP(AllocationTable[[#This Row],[TRADE]],LatestDump!A:H,4,FALSE),2),0)</f>
        <v>97.33</v>
      </c>
      <c r="H44" s="346">
        <v>122</v>
      </c>
      <c r="I44" s="361">
        <f>AllocationTable[[#This Row],[EA]]-AllocationTable[[#This Row],[AA]]</f>
        <v>4339.9583999999977</v>
      </c>
      <c r="J44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44" s="346"/>
      <c r="L44" s="375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110 ,Qnt: 7</v>
      </c>
      <c r="M44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98 ,Qnt: 14</v>
      </c>
      <c r="N44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86 ,Qnt: 25</v>
      </c>
      <c r="O44" s="363">
        <f>AllocationTable[[#This Row],[CURRENT VALUE]]-AllocationTable[[#This Row],[AA]]</f>
        <v>934</v>
      </c>
      <c r="P44" s="364">
        <f>IFERROR(AllocationTable[[#This Row],[PROFIT]]/AllocationTable[[#This Row],[AA]],0)</f>
        <v>0.10614842595749517</v>
      </c>
      <c r="Q44" s="376">
        <f>AllocationTable[[#This Row],[QNT]]*AllocationTable[[#This Row],[LTP]]</f>
        <v>9733</v>
      </c>
      <c r="R44" s="376">
        <v>28323.5</v>
      </c>
      <c r="S44" s="376"/>
      <c r="T44" s="366">
        <v>1.6</v>
      </c>
      <c r="U44" s="377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13138.958399999998</v>
      </c>
      <c r="V44" s="367">
        <f ca="1">AllocationTable[[#This Row],[AA]]/AllocationTable[[#Totals],[AA]]</f>
        <v>1.0185804858840993E-3</v>
      </c>
      <c r="W44" s="377">
        <f>AllocationTable[[#This Row],[QNT]]*AllocationTable[[#This Row],[AVG.]]</f>
        <v>8799</v>
      </c>
      <c r="X44" s="359">
        <v>10</v>
      </c>
      <c r="Y44" s="359" t="s">
        <v>310</v>
      </c>
      <c r="Z44" s="359">
        <v>-12</v>
      </c>
      <c r="AA44" s="359">
        <v>-12</v>
      </c>
      <c r="AB44" s="359">
        <v>15</v>
      </c>
      <c r="AC44" s="359">
        <v>25</v>
      </c>
      <c r="AD44" s="359" t="s">
        <v>316</v>
      </c>
    </row>
    <row r="45" spans="1:30" x14ac:dyDescent="0.25">
      <c r="A45" s="373" t="s">
        <v>109</v>
      </c>
      <c r="B45" s="374" t="s">
        <v>227</v>
      </c>
      <c r="C45" s="374" t="s">
        <v>42</v>
      </c>
      <c r="D45" s="374" t="s">
        <v>303</v>
      </c>
      <c r="E45" s="359">
        <f>_xlfn.IFNA(VLOOKUP(AllocationTable[[#This Row],[TRADE]],LatestDump!A:H,2,FALSE),0) + (_xlfn.IFNA(VLOOKUP(AllocationTable[[#This Row],[TRADE]],LongTerm!A:D,4,0),0))</f>
        <v>20</v>
      </c>
      <c r="F45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1360</v>
      </c>
      <c r="G45" s="360">
        <f>_xlfn.IFNA(ROUND(VLOOKUP(AllocationTable[[#This Row],[TRADE]],LatestDump!A:H,4,FALSE),2),0)</f>
        <v>1350.2</v>
      </c>
      <c r="H45" s="346">
        <v>1600</v>
      </c>
      <c r="I45" s="361">
        <f>AllocationTable[[#This Row],[EA]]-AllocationTable[[#This Row],[AA]]</f>
        <v>-27200</v>
      </c>
      <c r="J45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45" s="346"/>
      <c r="L45" s="375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45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45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45" s="363">
        <f>AllocationTable[[#This Row],[CURRENT VALUE]]-AllocationTable[[#This Row],[AA]]</f>
        <v>-196</v>
      </c>
      <c r="P45" s="364">
        <f>IFERROR(AllocationTable[[#This Row],[PROFIT]]/AllocationTable[[#This Row],[AA]],0)</f>
        <v>-7.2058823529411765E-3</v>
      </c>
      <c r="Q45" s="376">
        <f>AllocationTable[[#This Row],[QNT]]*AllocationTable[[#This Row],[LTP]]</f>
        <v>27004</v>
      </c>
      <c r="R45" s="376">
        <v>5638.5</v>
      </c>
      <c r="S45" s="376"/>
      <c r="T45" s="366">
        <v>0</v>
      </c>
      <c r="U45" s="377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45" s="367">
        <f ca="1">AllocationTable[[#This Row],[AA]]/AllocationTable[[#Totals],[AA]]</f>
        <v>3.1486974901747357E-3</v>
      </c>
      <c r="W45" s="377">
        <f>AllocationTable[[#This Row],[QNT]]*AllocationTable[[#This Row],[AVG.]]</f>
        <v>27200</v>
      </c>
      <c r="X45" s="359">
        <v>-1</v>
      </c>
      <c r="Y45" s="359" t="s">
        <v>317</v>
      </c>
      <c r="Z45" s="359">
        <v>0</v>
      </c>
      <c r="AA45" s="359">
        <v>0</v>
      </c>
      <c r="AB45" s="359">
        <v>0</v>
      </c>
      <c r="AC45" s="359">
        <v>0</v>
      </c>
      <c r="AD45" s="359">
        <v>0</v>
      </c>
    </row>
    <row r="46" spans="1:30" x14ac:dyDescent="0.25">
      <c r="A46" s="373" t="s">
        <v>114</v>
      </c>
      <c r="B46" s="374" t="s">
        <v>227</v>
      </c>
      <c r="C46" s="374" t="s">
        <v>42</v>
      </c>
      <c r="D46" s="374" t="s">
        <v>302</v>
      </c>
      <c r="E46" s="359">
        <f>_xlfn.IFNA(VLOOKUP(AllocationTable[[#This Row],[TRADE]],LatestDump!A:H,2,FALSE),0) + (_xlfn.IFNA(VLOOKUP(AllocationTable[[#This Row],[TRADE]],LongTerm!A:D,4,0),0))</f>
        <v>310</v>
      </c>
      <c r="F46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305.48064516129034</v>
      </c>
      <c r="G46" s="360">
        <f>_xlfn.IFNA(ROUND(VLOOKUP(AllocationTable[[#This Row],[TRADE]],LatestDump!A:H,4,FALSE),2),0)</f>
        <v>399.5</v>
      </c>
      <c r="H46" s="346">
        <v>400</v>
      </c>
      <c r="I46" s="361">
        <f>AllocationTable[[#This Row],[EA]]-AllocationTable[[#This Row],[AA]]</f>
        <v>-77454.117100000003</v>
      </c>
      <c r="J46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46" s="346"/>
      <c r="L46" s="375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46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46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46" s="363">
        <f>AllocationTable[[#This Row],[CURRENT VALUE]]-AllocationTable[[#This Row],[AA]]</f>
        <v>29146</v>
      </c>
      <c r="P46" s="364">
        <f>IFERROR(AllocationTable[[#This Row],[PROFIT]]/AllocationTable[[#This Row],[AA]],0)</f>
        <v>0.30777516130054172</v>
      </c>
      <c r="Q46" s="376">
        <f>AllocationTable[[#This Row],[QNT]]*AllocationTable[[#This Row],[LTP]]</f>
        <v>123845</v>
      </c>
      <c r="R46" s="376">
        <v>94699</v>
      </c>
      <c r="S46" s="376"/>
      <c r="T46" s="366">
        <v>0.89999999999999991</v>
      </c>
      <c r="U46" s="377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17244.882899999997</v>
      </c>
      <c r="V46" s="367">
        <f ca="1">AllocationTable[[#This Row],[AA]]/AllocationTable[[#Totals],[AA]]</f>
        <v>1.0962444986105048E-2</v>
      </c>
      <c r="W46" s="377">
        <f>AllocationTable[[#This Row],[QNT]]*AllocationTable[[#This Row],[AVG.]]</f>
        <v>94699</v>
      </c>
      <c r="X46" s="359">
        <v>-1</v>
      </c>
      <c r="Y46" s="359" t="s">
        <v>311</v>
      </c>
      <c r="Z46" s="359"/>
      <c r="AA46" s="359"/>
      <c r="AB46" s="359"/>
      <c r="AC46" s="359"/>
      <c r="AD46" s="359"/>
    </row>
    <row r="47" spans="1:30" x14ac:dyDescent="0.25">
      <c r="A47" s="373" t="s">
        <v>356</v>
      </c>
      <c r="B47" s="374" t="s">
        <v>227</v>
      </c>
      <c r="C47" s="374" t="s">
        <v>42</v>
      </c>
      <c r="D47" s="374" t="s">
        <v>304</v>
      </c>
      <c r="E47" s="359">
        <f>_xlfn.IFNA(VLOOKUP(AllocationTable[[#This Row],[TRADE]],LatestDump!A:H,2,FALSE),0) + (_xlfn.IFNA(VLOOKUP(AllocationTable[[#This Row],[TRADE]],LongTerm!A:D,4,0),0))</f>
        <v>5</v>
      </c>
      <c r="F47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850</v>
      </c>
      <c r="G47" s="360">
        <f>_xlfn.IFNA(ROUND(VLOOKUP(AllocationTable[[#This Row],[TRADE]],LatestDump!A:H,4,FALSE),2),0)</f>
        <v>1085.3499999999999</v>
      </c>
      <c r="H47" s="346"/>
      <c r="I47" s="361">
        <f>AllocationTable[[#This Row],[EA]]-AllocationTable[[#This Row],[AA]]</f>
        <v>12173.697999999997</v>
      </c>
      <c r="J47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Profit</v>
      </c>
      <c r="K47" s="346"/>
      <c r="L47" s="375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0 ,Qnt: 2</v>
      </c>
      <c r="M47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0 ,Qnt: 4</v>
      </c>
      <c r="N47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0 ,Qnt: 7</v>
      </c>
      <c r="O47" s="363">
        <f>AllocationTable[[#This Row],[CURRENT VALUE]]-AllocationTable[[#This Row],[AA]]</f>
        <v>1176.75</v>
      </c>
      <c r="P47" s="364">
        <f>IFERROR(AllocationTable[[#This Row],[PROFIT]]/AllocationTable[[#This Row],[AA]],0)</f>
        <v>0.27688235294117647</v>
      </c>
      <c r="Q47" s="376">
        <f>AllocationTable[[#This Row],[QNT]]*AllocationTable[[#This Row],[LTP]]</f>
        <v>5426.75</v>
      </c>
      <c r="R47" s="376"/>
      <c r="S47" s="376"/>
      <c r="T47" s="366">
        <v>2</v>
      </c>
      <c r="U47" s="377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16423.697999999997</v>
      </c>
      <c r="V47" s="367">
        <f ca="1">AllocationTable[[#This Row],[AA]]/AllocationTable[[#Totals],[AA]]</f>
        <v>4.9198398283980247E-4</v>
      </c>
      <c r="W47" s="377">
        <f>AllocationTable[[#This Row],[QNT]]*AllocationTable[[#This Row],[AVG.]]</f>
        <v>4250</v>
      </c>
      <c r="X47" s="359">
        <v>10</v>
      </c>
      <c r="Y47" s="359"/>
      <c r="Z47" s="359"/>
      <c r="AA47" s="359"/>
      <c r="AB47" s="359"/>
      <c r="AC47" s="359"/>
      <c r="AD47" s="359"/>
    </row>
    <row r="48" spans="1:30" x14ac:dyDescent="0.25">
      <c r="A48" s="373" t="s">
        <v>120</v>
      </c>
      <c r="B48" s="374" t="s">
        <v>227</v>
      </c>
      <c r="C48" s="374" t="s">
        <v>42</v>
      </c>
      <c r="D48" s="374" t="s">
        <v>302</v>
      </c>
      <c r="E48" s="359">
        <f>_xlfn.IFNA(VLOOKUP(AllocationTable[[#This Row],[TRADE]],LatestDump!A:H,2,FALSE),0) + (_xlfn.IFNA(VLOOKUP(AllocationTable[[#This Row],[TRADE]],LongTerm!A:D,4,0),0))</f>
        <v>25</v>
      </c>
      <c r="F48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1356.9920000000002</v>
      </c>
      <c r="G48" s="360">
        <f>_xlfn.IFNA(ROUND(VLOOKUP(AllocationTable[[#This Row],[TRADE]],LatestDump!A:H,4,FALSE),2),0)</f>
        <v>1471.8</v>
      </c>
      <c r="H48" s="346">
        <v>1605</v>
      </c>
      <c r="I48" s="361">
        <f>AllocationTable[[#This Row],[EA]]-AllocationTable[[#This Row],[AA]]</f>
        <v>-22428.211400000007</v>
      </c>
      <c r="J48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48" s="346"/>
      <c r="L48" s="375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48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48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48" s="363">
        <f>AllocationTable[[#This Row],[CURRENT VALUE]]-AllocationTable[[#This Row],[AA]]</f>
        <v>2870.1999999999971</v>
      </c>
      <c r="P48" s="364">
        <f>IFERROR(AllocationTable[[#This Row],[PROFIT]]/AllocationTable[[#This Row],[AA]],0)</f>
        <v>8.460477290949385E-2</v>
      </c>
      <c r="Q48" s="376">
        <f>AllocationTable[[#This Row],[QNT]]*AllocationTable[[#This Row],[LTP]]</f>
        <v>36795</v>
      </c>
      <c r="R48" s="376">
        <v>44501.8</v>
      </c>
      <c r="S48" s="376"/>
      <c r="T48" s="366">
        <v>0.6</v>
      </c>
      <c r="U48" s="377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11496.588599999997</v>
      </c>
      <c r="V48" s="367">
        <f ca="1">AllocationTable[[#This Row],[AA]]/AllocationTable[[#Totals],[AA]]</f>
        <v>3.9271666402455841E-3</v>
      </c>
      <c r="W48" s="377">
        <f>AllocationTable[[#This Row],[QNT]]*AllocationTable[[#This Row],[AVG.]]</f>
        <v>33924.800000000003</v>
      </c>
      <c r="X48" s="359">
        <v>-1</v>
      </c>
      <c r="Y48" s="359" t="s">
        <v>311</v>
      </c>
      <c r="Z48" s="359"/>
      <c r="AA48" s="359"/>
      <c r="AB48" s="359"/>
      <c r="AC48" s="359"/>
      <c r="AD48" s="359"/>
    </row>
    <row r="49" spans="1:30" x14ac:dyDescent="0.25">
      <c r="A49" s="373" t="s">
        <v>61</v>
      </c>
      <c r="B49" s="374" t="s">
        <v>230</v>
      </c>
      <c r="C49" s="374" t="s">
        <v>42</v>
      </c>
      <c r="D49" s="374" t="s">
        <v>304</v>
      </c>
      <c r="E49" s="359">
        <f>_xlfn.IFNA(VLOOKUP(AllocationTable[[#This Row],[TRADE]],LatestDump!A:H,2,FALSE),0) + (_xlfn.IFNA(VLOOKUP(AllocationTable[[#This Row],[TRADE]],LongTerm!A:D,4,0),0))</f>
        <v>35</v>
      </c>
      <c r="F49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485.28</v>
      </c>
      <c r="G49" s="360">
        <f>_xlfn.IFNA(ROUND(VLOOKUP(AllocationTable[[#This Row],[TRADE]],LatestDump!A:H,4,FALSE),2),0)</f>
        <v>470.45</v>
      </c>
      <c r="H49" s="346">
        <v>760</v>
      </c>
      <c r="I49" s="361">
        <f>AllocationTable[[#This Row],[EA]]-AllocationTable[[#This Row],[AA]]</f>
        <v>-10415.320800000001</v>
      </c>
      <c r="J49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49" s="346"/>
      <c r="L49" s="375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49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49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49" s="363">
        <f>AllocationTable[[#This Row],[CURRENT VALUE]]-AllocationTable[[#This Row],[AA]]</f>
        <v>-519.04999999999927</v>
      </c>
      <c r="P49" s="364">
        <f>IFERROR(AllocationTable[[#This Row],[PROFIT]]/AllocationTable[[#This Row],[AA]],0)</f>
        <v>-3.0559676887570022E-2</v>
      </c>
      <c r="Q49" s="376">
        <f>AllocationTable[[#This Row],[QNT]]*AllocationTable[[#This Row],[LTP]]</f>
        <v>16465.75</v>
      </c>
      <c r="R49" s="376">
        <v>30958.499999999996</v>
      </c>
      <c r="S49" s="376"/>
      <c r="T49" s="366">
        <v>0.8</v>
      </c>
      <c r="U49" s="377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6569.4791999999989</v>
      </c>
      <c r="V49" s="367">
        <f ca="1">AllocationTable[[#This Row],[AA]]/AllocationTable[[#Totals],[AA]]</f>
        <v>1.9661763651147002E-3</v>
      </c>
      <c r="W49" s="377">
        <f>AllocationTable[[#This Row],[QNT]]*AllocationTable[[#This Row],[AVG.]]</f>
        <v>16984.8</v>
      </c>
      <c r="X49" s="359">
        <v>-1</v>
      </c>
      <c r="Y49" s="359" t="s">
        <v>314</v>
      </c>
      <c r="Z49" s="359">
        <v>-8</v>
      </c>
      <c r="AA49" s="359">
        <v>-8</v>
      </c>
      <c r="AB49" s="359">
        <v>0</v>
      </c>
      <c r="AC49" s="359">
        <v>15</v>
      </c>
      <c r="AD49" s="359" t="s">
        <v>315</v>
      </c>
    </row>
    <row r="50" spans="1:30" x14ac:dyDescent="0.25">
      <c r="A50" s="373" t="s">
        <v>347</v>
      </c>
      <c r="B50" s="374" t="s">
        <v>230</v>
      </c>
      <c r="C50" s="374" t="s">
        <v>42</v>
      </c>
      <c r="D50" s="374" t="s">
        <v>304</v>
      </c>
      <c r="E50" s="359">
        <f>_xlfn.IFNA(VLOOKUP(AllocationTable[[#This Row],[TRADE]],LatestDump!A:H,2,FALSE),0) + (_xlfn.IFNA(VLOOKUP(AllocationTable[[#This Row],[TRADE]],LongTerm!A:D,4,0),0))</f>
        <v>100</v>
      </c>
      <c r="F50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255.3</v>
      </c>
      <c r="G50" s="360">
        <f>_xlfn.IFNA(ROUND(VLOOKUP(AllocationTable[[#This Row],[TRADE]],LatestDump!A:H,4,FALSE),2),0)</f>
        <v>284.70999999999998</v>
      </c>
      <c r="H50" s="346">
        <v>310</v>
      </c>
      <c r="I50" s="361">
        <f>AllocationTable[[#This Row],[EA]]-AllocationTable[[#This Row],[AA]]</f>
        <v>-25530</v>
      </c>
      <c r="J50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Profit</v>
      </c>
      <c r="K50" s="346"/>
      <c r="L50" s="375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SIP</v>
      </c>
      <c r="M50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SIP</v>
      </c>
      <c r="N50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SIP</v>
      </c>
      <c r="O50" s="363">
        <f>AllocationTable[[#This Row],[CURRENT VALUE]]-AllocationTable[[#This Row],[AA]]</f>
        <v>2940.9999999999964</v>
      </c>
      <c r="P50" s="364">
        <f>IFERROR(AllocationTable[[#This Row],[PROFIT]]/AllocationTable[[#This Row],[AA]],0)</f>
        <v>0.11519780650215418</v>
      </c>
      <c r="Q50" s="376">
        <f>AllocationTable[[#This Row],[QNT]]*AllocationTable[[#This Row],[LTP]]</f>
        <v>28470.999999999996</v>
      </c>
      <c r="R50" s="376"/>
      <c r="S50" s="376"/>
      <c r="T50" s="366"/>
      <c r="U50" s="377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50" s="367">
        <f ca="1">AllocationTable[[#This Row],[AA]]/AllocationTable[[#Totals],[AA]]</f>
        <v>2.955376725152978E-3</v>
      </c>
      <c r="W50" s="377">
        <f>AllocationTable[[#This Row],[QNT]]*AllocationTable[[#This Row],[AVG.]]</f>
        <v>25530</v>
      </c>
      <c r="X50" s="359"/>
      <c r="Y50" s="359"/>
      <c r="Z50" s="359"/>
      <c r="AA50" s="359"/>
      <c r="AB50" s="359"/>
      <c r="AC50" s="359"/>
      <c r="AD50" s="359"/>
    </row>
    <row r="51" spans="1:30" x14ac:dyDescent="0.25">
      <c r="A51" s="387" t="s">
        <v>74</v>
      </c>
      <c r="B51" s="388" t="s">
        <v>230</v>
      </c>
      <c r="C51" s="388" t="s">
        <v>42</v>
      </c>
      <c r="D51" s="388" t="s">
        <v>302</v>
      </c>
      <c r="E51" s="359">
        <f>_xlfn.IFNA(VLOOKUP(AllocationTable[[#This Row],[TRADE]],LatestDump!A:H,2,FALSE),0) + (_xlfn.IFNA(VLOOKUP(AllocationTable[[#This Row],[TRADE]],LongTerm!A:D,4,0),0))</f>
        <v>9</v>
      </c>
      <c r="F51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3533.2444444444445</v>
      </c>
      <c r="G51" s="360">
        <f>_xlfn.IFNA(ROUND(VLOOKUP(AllocationTable[[#This Row],[TRADE]],LatestDump!A:H,4,FALSE),2),0)</f>
        <v>5138.7</v>
      </c>
      <c r="H51" s="346">
        <v>4987</v>
      </c>
      <c r="I51" s="361">
        <f>AllocationTable[[#This Row],[EA]]-AllocationTable[[#This Row],[AA]]</f>
        <v>-14554.317100000004</v>
      </c>
      <c r="J51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51" s="346"/>
      <c r="L51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4688 ,Qnt: 0</v>
      </c>
      <c r="M51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4389 ,Qnt: 0</v>
      </c>
      <c r="N51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4090 ,Qnt: -1</v>
      </c>
      <c r="O51" s="363">
        <f>AllocationTable[[#This Row],[CURRENT VALUE]]-AllocationTable[[#This Row],[AA]]</f>
        <v>14449.099999999995</v>
      </c>
      <c r="P51" s="364">
        <f>IFERROR(AllocationTable[[#This Row],[PROFIT]]/AllocationTable[[#This Row],[AA]],0)</f>
        <v>0.45438564492188466</v>
      </c>
      <c r="Q51" s="389">
        <f>AllocationTable[[#This Row],[QNT]]*AllocationTable[[#This Row],[LTP]]</f>
        <v>46248.299999999996</v>
      </c>
      <c r="R51" s="389">
        <v>18428.2</v>
      </c>
      <c r="S51" s="389"/>
      <c r="T51" s="366">
        <v>0.89999999999999991</v>
      </c>
      <c r="U51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17244.882899999997</v>
      </c>
      <c r="V51" s="367">
        <f ca="1">AllocationTable[[#This Row],[AA]]/AllocationTable[[#Totals],[AA]]</f>
        <v>3.6811051922633993E-3</v>
      </c>
      <c r="W51" s="360">
        <f>AllocationTable[[#This Row],[QNT]]*AllocationTable[[#This Row],[AVG.]]</f>
        <v>31799.200000000001</v>
      </c>
      <c r="X51" s="359">
        <v>6</v>
      </c>
      <c r="Y51" s="359" t="s">
        <v>311</v>
      </c>
      <c r="Z51" s="359"/>
      <c r="AA51" s="359"/>
      <c r="AB51" s="359"/>
      <c r="AC51" s="359"/>
      <c r="AD51" s="359"/>
    </row>
    <row r="52" spans="1:30" x14ac:dyDescent="0.25">
      <c r="A52" s="393" t="s">
        <v>81</v>
      </c>
      <c r="B52" s="394" t="s">
        <v>230</v>
      </c>
      <c r="C52" s="394" t="s">
        <v>42</v>
      </c>
      <c r="D52" s="394" t="s">
        <v>304</v>
      </c>
      <c r="E52" s="359">
        <f>_xlfn.IFNA(VLOOKUP(AllocationTable[[#This Row],[TRADE]],LatestDump!A:H,2,FALSE),0) + (_xlfn.IFNA(VLOOKUP(AllocationTable[[#This Row],[TRADE]],LongTerm!A:D,4,0),0))</f>
        <v>0</v>
      </c>
      <c r="F52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52" s="360">
        <f>_xlfn.IFNA(ROUND(VLOOKUP(AllocationTable[[#This Row],[TRADE]],LatestDump!A:H,4,FALSE),2),0)</f>
        <v>0</v>
      </c>
      <c r="H52" s="377">
        <v>5166</v>
      </c>
      <c r="I52" s="361">
        <f>AllocationTable[[#This Row],[EA]]-AllocationTable[[#This Row],[AA]]</f>
        <v>16423.697999999997</v>
      </c>
      <c r="J52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52" s="346"/>
      <c r="L52" s="362" t="e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#DIV/0!</v>
      </c>
      <c r="M52" s="360" t="e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#DIV/0!</v>
      </c>
      <c r="N52" s="362" t="e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#DIV/0!</v>
      </c>
      <c r="O52" s="363">
        <f>AllocationTable[[#This Row],[CURRENT VALUE]]-AllocationTable[[#This Row],[AA]]</f>
        <v>0</v>
      </c>
      <c r="P52" s="364">
        <f>IFERROR(AllocationTable[[#This Row],[PROFIT]]/AllocationTable[[#This Row],[AA]],0)</f>
        <v>0</v>
      </c>
      <c r="Q52" s="395">
        <f>AllocationTable[[#This Row],[QNT]]*AllocationTable[[#This Row],[LTP]]</f>
        <v>0</v>
      </c>
      <c r="R52" s="395">
        <v>57664.6</v>
      </c>
      <c r="S52" s="395"/>
      <c r="T52" s="366">
        <v>2</v>
      </c>
      <c r="U52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16423.697999999997</v>
      </c>
      <c r="V52" s="367">
        <f ca="1">AllocationTable[[#This Row],[AA]]/AllocationTable[[#Totals],[AA]]</f>
        <v>0</v>
      </c>
      <c r="W52" s="360">
        <f>AllocationTable[[#This Row],[QNT]]*AllocationTable[[#This Row],[AVG.]]</f>
        <v>0</v>
      </c>
      <c r="X52" s="359">
        <v>10</v>
      </c>
      <c r="Y52" s="359" t="s">
        <v>310</v>
      </c>
      <c r="Z52" s="359">
        <v>-12</v>
      </c>
      <c r="AA52" s="359">
        <v>-12</v>
      </c>
      <c r="AB52" s="359">
        <v>15</v>
      </c>
      <c r="AC52" s="359">
        <v>25</v>
      </c>
      <c r="AD52" s="359" t="s">
        <v>316</v>
      </c>
    </row>
    <row r="53" spans="1:30" x14ac:dyDescent="0.25">
      <c r="A53" s="393" t="s">
        <v>87</v>
      </c>
      <c r="B53" s="394" t="s">
        <v>230</v>
      </c>
      <c r="C53" s="394" t="s">
        <v>42</v>
      </c>
      <c r="D53" s="394" t="s">
        <v>304</v>
      </c>
      <c r="E53" s="359">
        <f>_xlfn.IFNA(VLOOKUP(AllocationTable[[#This Row],[TRADE]],LatestDump!A:H,2,FALSE),0) + (_xlfn.IFNA(VLOOKUP(AllocationTable[[#This Row],[TRADE]],LongTerm!A:D,4,0),0))</f>
        <v>50</v>
      </c>
      <c r="F53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304.75</v>
      </c>
      <c r="G53" s="360">
        <f>_xlfn.IFNA(ROUND(VLOOKUP(AllocationTable[[#This Row],[TRADE]],LatestDump!A:H,4,FALSE),2),0)</f>
        <v>325.05</v>
      </c>
      <c r="H53" s="377">
        <v>640</v>
      </c>
      <c r="I53" s="361">
        <f>AllocationTable[[#This Row],[EA]]-AllocationTable[[#This Row],[AA]]</f>
        <v>-8668.0208000000021</v>
      </c>
      <c r="J53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Partial Profit</v>
      </c>
      <c r="K53" s="346"/>
      <c r="L53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53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53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53" s="363">
        <f>AllocationTable[[#This Row],[CURRENT VALUE]]-AllocationTable[[#This Row],[AA]]</f>
        <v>1015</v>
      </c>
      <c r="P53" s="364">
        <f>IFERROR(AllocationTable[[#This Row],[PROFIT]]/AllocationTable[[#This Row],[AA]],0)</f>
        <v>6.6611977030352751E-2</v>
      </c>
      <c r="Q53" s="395">
        <f>AllocationTable[[#This Row],[QNT]]*AllocationTable[[#This Row],[LTP]]</f>
        <v>16252.5</v>
      </c>
      <c r="R53" s="395">
        <v>67144.600000000006</v>
      </c>
      <c r="S53" s="395"/>
      <c r="T53" s="366">
        <v>0.8</v>
      </c>
      <c r="U53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6569.4791999999989</v>
      </c>
      <c r="V53" s="367">
        <f ca="1">AllocationTable[[#This Row],[AA]]/AllocationTable[[#Totals],[AA]]</f>
        <v>1.7639072796521152E-3</v>
      </c>
      <c r="W53" s="360">
        <f>AllocationTable[[#This Row],[QNT]]*AllocationTable[[#This Row],[AVG.]]</f>
        <v>15237.5</v>
      </c>
      <c r="X53" s="359">
        <v>-1</v>
      </c>
      <c r="Y53" s="359" t="s">
        <v>314</v>
      </c>
      <c r="Z53" s="359">
        <v>-8</v>
      </c>
      <c r="AA53" s="359">
        <v>-8</v>
      </c>
      <c r="AB53" s="359">
        <v>0</v>
      </c>
      <c r="AC53" s="359">
        <v>15</v>
      </c>
      <c r="AD53" s="359" t="s">
        <v>315</v>
      </c>
    </row>
    <row r="54" spans="1:30" x14ac:dyDescent="0.25">
      <c r="A54" s="393" t="s">
        <v>203</v>
      </c>
      <c r="B54" s="394" t="s">
        <v>230</v>
      </c>
      <c r="C54" s="394" t="s">
        <v>42</v>
      </c>
      <c r="D54" s="394" t="s">
        <v>302</v>
      </c>
      <c r="E54" s="359">
        <f>_xlfn.IFNA(VLOOKUP(AllocationTable[[#This Row],[TRADE]],LatestDump!A:H,2,FALSE),0) + (_xlfn.IFNA(VLOOKUP(AllocationTable[[#This Row],[TRADE]],LongTerm!A:D,4,0),0))</f>
        <v>925</v>
      </c>
      <c r="F54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48.848172972972968</v>
      </c>
      <c r="G54" s="360">
        <f>_xlfn.IFNA(ROUND(VLOOKUP(AllocationTable[[#This Row],[TRADE]],LatestDump!A:H,4,FALSE),2),0)</f>
        <v>100.26</v>
      </c>
      <c r="H54" s="377">
        <v>155</v>
      </c>
      <c r="I54" s="361">
        <f>AllocationTable[[#This Row],[EA]]-AllocationTable[[#This Row],[AA]]</f>
        <v>-4946.4999000000025</v>
      </c>
      <c r="J54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54" s="346"/>
      <c r="L54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140 ,Qnt: -6</v>
      </c>
      <c r="M54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124 ,Qnt: -14</v>
      </c>
      <c r="N54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109 ,Qnt: -27</v>
      </c>
      <c r="O54" s="363">
        <f>AllocationTable[[#This Row],[CURRENT VALUE]]-AllocationTable[[#This Row],[AA]]</f>
        <v>47555.94</v>
      </c>
      <c r="P54" s="364">
        <f>IFERROR(AllocationTable[[#This Row],[PROFIT]]/AllocationTable[[#This Row],[AA]],0)</f>
        <v>1.0524820868013323</v>
      </c>
      <c r="Q54" s="395">
        <f>AllocationTable[[#This Row],[QNT]]*AllocationTable[[#This Row],[LTP]]</f>
        <v>92740.5</v>
      </c>
      <c r="R54" s="395">
        <v>27282.26</v>
      </c>
      <c r="S54" s="395"/>
      <c r="T54" s="366">
        <v>2.1</v>
      </c>
      <c r="U54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40238.060099999995</v>
      </c>
      <c r="V54" s="367">
        <f ca="1">AllocationTable[[#This Row],[AA]]/AllocationTable[[#Totals],[AA]]</f>
        <v>5.2306070098032996E-3</v>
      </c>
      <c r="W54" s="360">
        <f>AllocationTable[[#This Row],[QNT]]*AllocationTable[[#This Row],[AVG.]]</f>
        <v>45184.56</v>
      </c>
      <c r="X54" s="359">
        <v>10</v>
      </c>
      <c r="Y54" s="359" t="s">
        <v>314</v>
      </c>
      <c r="Z54" s="359"/>
      <c r="AA54" s="359"/>
      <c r="AB54" s="359"/>
      <c r="AC54" s="359"/>
      <c r="AD54" s="359"/>
    </row>
    <row r="55" spans="1:30" x14ac:dyDescent="0.25">
      <c r="A55" s="393" t="s">
        <v>93</v>
      </c>
      <c r="B55" s="394" t="s">
        <v>230</v>
      </c>
      <c r="C55" s="394" t="s">
        <v>42</v>
      </c>
      <c r="D55" s="394" t="s">
        <v>302</v>
      </c>
      <c r="E55" s="359">
        <f>_xlfn.IFNA(VLOOKUP(AllocationTable[[#This Row],[TRADE]],LatestDump!A:H,2,FALSE),0) + (_xlfn.IFNA(VLOOKUP(AllocationTable[[#This Row],[TRADE]],LongTerm!A:D,4,0),0))</f>
        <v>280</v>
      </c>
      <c r="F55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289.10714285714283</v>
      </c>
      <c r="G55" s="360">
        <f>_xlfn.IFNA(ROUND(VLOOKUP(AllocationTable[[#This Row],[TRADE]],LatestDump!A:H,4,FALSE),2),0)</f>
        <v>411.1</v>
      </c>
      <c r="H55" s="377">
        <v>565</v>
      </c>
      <c r="I55" s="361">
        <f>AllocationTable[[#This Row],[EA]]-AllocationTable[[#This Row],[AA]]</f>
        <v>-75201.705700000006</v>
      </c>
      <c r="J55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55" s="346"/>
      <c r="L55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509 ,Qnt: -25</v>
      </c>
      <c r="M55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452 ,Qnt: -54</v>
      </c>
      <c r="N55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396 ,Qnt: -102</v>
      </c>
      <c r="O55" s="363">
        <f>AllocationTable[[#This Row],[CURRENT VALUE]]-AllocationTable[[#This Row],[AA]]</f>
        <v>34158</v>
      </c>
      <c r="P55" s="364">
        <f>IFERROR(AllocationTable[[#This Row],[PROFIT]]/AllocationTable[[#This Row],[AA]],0)</f>
        <v>0.42196417541692405</v>
      </c>
      <c r="Q55" s="395">
        <f>AllocationTable[[#This Row],[QNT]]*AllocationTable[[#This Row],[LTP]]</f>
        <v>115108</v>
      </c>
      <c r="R55" s="395">
        <v>83530</v>
      </c>
      <c r="S55" s="395"/>
      <c r="T55" s="366">
        <v>0.3</v>
      </c>
      <c r="U55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5748.2942999999987</v>
      </c>
      <c r="V55" s="367">
        <f ca="1">AllocationTable[[#This Row],[AA]]/AllocationTable[[#Totals],[AA]]</f>
        <v>9.3708478613840022E-3</v>
      </c>
      <c r="W55" s="360">
        <f>AllocationTable[[#This Row],[QNT]]*AllocationTable[[#This Row],[AVG.]]</f>
        <v>80950</v>
      </c>
      <c r="X55" s="359">
        <v>10</v>
      </c>
      <c r="Y55" s="359" t="s">
        <v>311</v>
      </c>
      <c r="Z55" s="359"/>
      <c r="AA55" s="359"/>
      <c r="AB55" s="359"/>
      <c r="AC55" s="359"/>
      <c r="AD55" s="359"/>
    </row>
    <row r="56" spans="1:30" x14ac:dyDescent="0.25">
      <c r="A56" s="393" t="s">
        <v>98</v>
      </c>
      <c r="B56" s="394" t="s">
        <v>230</v>
      </c>
      <c r="C56" s="394" t="s">
        <v>42</v>
      </c>
      <c r="D56" s="394" t="s">
        <v>303</v>
      </c>
      <c r="E56" s="359">
        <f>_xlfn.IFNA(VLOOKUP(AllocationTable[[#This Row],[TRADE]],LatestDump!A:H,2,FALSE),0) + (_xlfn.IFNA(VLOOKUP(AllocationTable[[#This Row],[TRADE]],LongTerm!A:D,4,0),0))</f>
        <v>11</v>
      </c>
      <c r="F56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3746.3454545454547</v>
      </c>
      <c r="G56" s="360">
        <f>_xlfn.IFNA(ROUND(VLOOKUP(AllocationTable[[#This Row],[TRADE]],LatestDump!A:H,4,FALSE),2),0)</f>
        <v>3959.9</v>
      </c>
      <c r="H56" s="377">
        <v>4500</v>
      </c>
      <c r="I56" s="361">
        <f>AllocationTable[[#This Row],[EA]]-AllocationTable[[#This Row],[AA]]</f>
        <v>-41209.800000000003</v>
      </c>
      <c r="J56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56" s="346"/>
      <c r="L56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56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56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56" s="363">
        <f>AllocationTable[[#This Row],[CURRENT VALUE]]-AllocationTable[[#This Row],[AA]]</f>
        <v>2349.0999999999985</v>
      </c>
      <c r="P56" s="364">
        <f>IFERROR(AllocationTable[[#This Row],[PROFIT]]/AllocationTable[[#This Row],[AA]],0)</f>
        <v>5.7003431222670299E-2</v>
      </c>
      <c r="Q56" s="395">
        <f>AllocationTable[[#This Row],[QNT]]*AllocationTable[[#This Row],[LTP]]</f>
        <v>43558.9</v>
      </c>
      <c r="R56" s="395">
        <v>25753.9</v>
      </c>
      <c r="S56" s="395"/>
      <c r="T56" s="366">
        <v>0</v>
      </c>
      <c r="U56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56" s="367">
        <f ca="1">AllocationTable[[#This Row],[AA]]/AllocationTable[[#Totals],[AA]]</f>
        <v>4.7704850673015746E-3</v>
      </c>
      <c r="W56" s="360">
        <f>AllocationTable[[#This Row],[QNT]]*AllocationTable[[#This Row],[AVG.]]</f>
        <v>41209.800000000003</v>
      </c>
      <c r="X56" s="359">
        <v>-1</v>
      </c>
      <c r="Y56" s="359" t="s">
        <v>317</v>
      </c>
      <c r="Z56" s="359">
        <v>0</v>
      </c>
      <c r="AA56" s="359">
        <v>0</v>
      </c>
      <c r="AB56" s="359">
        <v>0</v>
      </c>
      <c r="AC56" s="359">
        <v>0</v>
      </c>
      <c r="AD56" s="359">
        <v>0</v>
      </c>
    </row>
    <row r="57" spans="1:30" x14ac:dyDescent="0.25">
      <c r="A57" s="393" t="s">
        <v>104</v>
      </c>
      <c r="B57" s="394" t="s">
        <v>230</v>
      </c>
      <c r="C57" s="394" t="s">
        <v>42</v>
      </c>
      <c r="D57" s="394" t="s">
        <v>304</v>
      </c>
      <c r="E57" s="359">
        <f>_xlfn.IFNA(VLOOKUP(AllocationTable[[#This Row],[TRADE]],LatestDump!A:H,2,FALSE),0) + (_xlfn.IFNA(VLOOKUP(AllocationTable[[#This Row],[TRADE]],LongTerm!A:D,4,0),0))</f>
        <v>40</v>
      </c>
      <c r="F57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651.59375</v>
      </c>
      <c r="G57" s="360">
        <f>_xlfn.IFNA(ROUND(VLOOKUP(AllocationTable[[#This Row],[TRADE]],LatestDump!A:H,4,FALSE),2),0)</f>
        <v>681.25</v>
      </c>
      <c r="H57" s="377">
        <v>972</v>
      </c>
      <c r="I57" s="361">
        <f>AllocationTable[[#This Row],[EA]]-AllocationTable[[#This Row],[AA]]</f>
        <v>-16209.531200000003</v>
      </c>
      <c r="J57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57" s="346"/>
      <c r="L57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875 ,Qnt: -3</v>
      </c>
      <c r="M57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778 ,Qnt: -7</v>
      </c>
      <c r="N57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681 ,Qnt: -13</v>
      </c>
      <c r="O57" s="363">
        <f>AllocationTable[[#This Row],[CURRENT VALUE]]-AllocationTable[[#This Row],[AA]]</f>
        <v>1186.25</v>
      </c>
      <c r="P57" s="364">
        <f>IFERROR(AllocationTable[[#This Row],[PROFIT]]/AllocationTable[[#This Row],[AA]],0)</f>
        <v>4.5513404632871325E-2</v>
      </c>
      <c r="Q57" s="395">
        <f>AllocationTable[[#This Row],[QNT]]*AllocationTable[[#This Row],[LTP]]</f>
        <v>27250</v>
      </c>
      <c r="R57" s="395">
        <v>37512.25</v>
      </c>
      <c r="S57" s="395"/>
      <c r="T57" s="366">
        <v>1.2</v>
      </c>
      <c r="U57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9854.2187999999969</v>
      </c>
      <c r="V57" s="367">
        <f ca="1">AllocationTable[[#This Row],[AA]]/AllocationTable[[#Totals],[AA]]</f>
        <v>3.0171641253508002E-3</v>
      </c>
      <c r="W57" s="360">
        <f>AllocationTable[[#This Row],[QNT]]*AllocationTable[[#This Row],[AVG.]]</f>
        <v>26063.75</v>
      </c>
      <c r="X57" s="359">
        <v>10</v>
      </c>
      <c r="Y57" s="359" t="s">
        <v>312</v>
      </c>
      <c r="Z57" s="359">
        <v>-10</v>
      </c>
      <c r="AA57" s="359">
        <v>-10</v>
      </c>
      <c r="AB57" s="359">
        <v>15</v>
      </c>
      <c r="AC57" s="359">
        <v>20</v>
      </c>
      <c r="AD57" s="359" t="s">
        <v>313</v>
      </c>
    </row>
    <row r="58" spans="1:30" x14ac:dyDescent="0.25">
      <c r="A58" s="393" t="s">
        <v>108</v>
      </c>
      <c r="B58" s="394" t="s">
        <v>230</v>
      </c>
      <c r="C58" s="394" t="s">
        <v>42</v>
      </c>
      <c r="D58" s="394" t="s">
        <v>304</v>
      </c>
      <c r="E58" s="359">
        <f>_xlfn.IFNA(VLOOKUP(AllocationTable[[#This Row],[TRADE]],LatestDump!A:H,2,FALSE),0) + (_xlfn.IFNA(VLOOKUP(AllocationTable[[#This Row],[TRADE]],LongTerm!A:D,4,0),0))</f>
        <v>0</v>
      </c>
      <c r="F58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58" s="360">
        <f>_xlfn.IFNA(ROUND(VLOOKUP(AllocationTable[[#This Row],[TRADE]],LatestDump!A:H,4,FALSE),2),0)</f>
        <v>0</v>
      </c>
      <c r="H58" s="377">
        <v>807</v>
      </c>
      <c r="I58" s="361">
        <f>AllocationTable[[#This Row],[EA]]-AllocationTable[[#This Row],[AA]]</f>
        <v>9854.2187999999969</v>
      </c>
      <c r="J58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58" s="346"/>
      <c r="L58" s="362" t="e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#DIV/0!</v>
      </c>
      <c r="M58" s="360" t="e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#DIV/0!</v>
      </c>
      <c r="N58" s="362" t="e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#DIV/0!</v>
      </c>
      <c r="O58" s="363">
        <f>AllocationTable[[#This Row],[CURRENT VALUE]]-AllocationTable[[#This Row],[AA]]</f>
        <v>0</v>
      </c>
      <c r="P58" s="364">
        <f>IFERROR(AllocationTable[[#This Row],[PROFIT]]/AllocationTable[[#This Row],[AA]],0)</f>
        <v>0</v>
      </c>
      <c r="Q58" s="395">
        <f>AllocationTable[[#This Row],[QNT]]*AllocationTable[[#This Row],[LTP]]</f>
        <v>0</v>
      </c>
      <c r="R58" s="395">
        <v>33882</v>
      </c>
      <c r="S58" s="395"/>
      <c r="T58" s="366">
        <v>1.2</v>
      </c>
      <c r="U58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9854.2187999999969</v>
      </c>
      <c r="V58" s="367">
        <f ca="1">AllocationTable[[#This Row],[AA]]/AllocationTable[[#Totals],[AA]]</f>
        <v>0</v>
      </c>
      <c r="W58" s="360">
        <f>AllocationTable[[#This Row],[QNT]]*AllocationTable[[#This Row],[AVG.]]</f>
        <v>0</v>
      </c>
      <c r="X58" s="359">
        <v>10</v>
      </c>
      <c r="Y58" s="359" t="s">
        <v>310</v>
      </c>
      <c r="Z58" s="359">
        <v>-12</v>
      </c>
      <c r="AA58" s="359">
        <v>-12</v>
      </c>
      <c r="AB58" s="359">
        <v>15</v>
      </c>
      <c r="AC58" s="359">
        <v>25</v>
      </c>
      <c r="AD58" s="359" t="s">
        <v>316</v>
      </c>
    </row>
    <row r="59" spans="1:30" x14ac:dyDescent="0.25">
      <c r="A59" s="393" t="s">
        <v>201</v>
      </c>
      <c r="B59" s="394" t="s">
        <v>230</v>
      </c>
      <c r="C59" s="394" t="s">
        <v>42</v>
      </c>
      <c r="D59" s="394" t="s">
        <v>304</v>
      </c>
      <c r="E59" s="359">
        <f>_xlfn.IFNA(VLOOKUP(AllocationTable[[#This Row],[TRADE]],LatestDump!A:H,2,FALSE),0) + (_xlfn.IFNA(VLOOKUP(AllocationTable[[#This Row],[TRADE]],LongTerm!A:D,4,0),0))</f>
        <v>326</v>
      </c>
      <c r="F59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293.59923312883438</v>
      </c>
      <c r="G59" s="360">
        <f>_xlfn.IFNA(ROUND(VLOOKUP(AllocationTable[[#This Row],[TRADE]],LatestDump!A:H,4,FALSE),2),0)</f>
        <v>275.10000000000002</v>
      </c>
      <c r="H59" s="377">
        <v>500</v>
      </c>
      <c r="I59" s="361">
        <f>AllocationTable[[#This Row],[EA]]-AllocationTable[[#This Row],[AA]]</f>
        <v>-79289.652000000002</v>
      </c>
      <c r="J59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59" s="346"/>
      <c r="L59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450 ,Qnt: -40</v>
      </c>
      <c r="M59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400 ,Qnt: -86</v>
      </c>
      <c r="N59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350 ,Qnt: -161</v>
      </c>
      <c r="O59" s="363">
        <f>AllocationTable[[#This Row],[CURRENT VALUE]]-AllocationTable[[#This Row],[AA]]</f>
        <v>-6030.75</v>
      </c>
      <c r="P59" s="364">
        <f>IFERROR(AllocationTable[[#This Row],[PROFIT]]/AllocationTable[[#This Row],[AA]],0)</f>
        <v>-6.3008451799043699E-2</v>
      </c>
      <c r="Q59" s="395">
        <f>AllocationTable[[#This Row],[QNT]]*AllocationTable[[#This Row],[LTP]]</f>
        <v>89682.6</v>
      </c>
      <c r="R59" s="395">
        <v>95713.35</v>
      </c>
      <c r="S59" s="395"/>
      <c r="T59" s="366">
        <v>2</v>
      </c>
      <c r="U59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16423.697999999997</v>
      </c>
      <c r="V59" s="367">
        <f ca="1">AllocationTable[[#This Row],[AA]]/AllocationTable[[#Totals],[AA]]</f>
        <v>1.1079867092691768E-2</v>
      </c>
      <c r="W59" s="360">
        <f>AllocationTable[[#This Row],[QNT]]*AllocationTable[[#This Row],[AVG.]]</f>
        <v>95713.35</v>
      </c>
      <c r="X59" s="359">
        <v>10</v>
      </c>
      <c r="Y59" s="359" t="s">
        <v>310</v>
      </c>
      <c r="Z59" s="359">
        <v>-12</v>
      </c>
      <c r="AA59" s="359">
        <v>-12</v>
      </c>
      <c r="AB59" s="359">
        <v>15</v>
      </c>
      <c r="AC59" s="359">
        <v>25</v>
      </c>
      <c r="AD59" s="359" t="s">
        <v>316</v>
      </c>
    </row>
    <row r="60" spans="1:30" x14ac:dyDescent="0.25">
      <c r="A60" s="393" t="s">
        <v>111</v>
      </c>
      <c r="B60" s="394" t="s">
        <v>230</v>
      </c>
      <c r="C60" s="394" t="s">
        <v>42</v>
      </c>
      <c r="D60" s="394" t="s">
        <v>304</v>
      </c>
      <c r="E60" s="359">
        <f>_xlfn.IFNA(VLOOKUP(AllocationTable[[#This Row],[TRADE]],LatestDump!A:H,2,FALSE),0) + (_xlfn.IFNA(VLOOKUP(AllocationTable[[#This Row],[TRADE]],LongTerm!A:D,4,0),0))</f>
        <v>0</v>
      </c>
      <c r="F60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60" s="360">
        <f>_xlfn.IFNA(ROUND(VLOOKUP(AllocationTable[[#This Row],[TRADE]],LatestDump!A:H,4,FALSE),2),0)</f>
        <v>0</v>
      </c>
      <c r="H60" s="377">
        <v>17820</v>
      </c>
      <c r="I60" s="361">
        <f>AllocationTable[[#This Row],[EA]]-AllocationTable[[#This Row],[AA]]</f>
        <v>16423.697999999997</v>
      </c>
      <c r="J60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60" s="346"/>
      <c r="L60" s="362" t="e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#DIV/0!</v>
      </c>
      <c r="M60" s="360" t="e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#DIV/0!</v>
      </c>
      <c r="N60" s="362" t="e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#DIV/0!</v>
      </c>
      <c r="O60" s="363">
        <f>AllocationTable[[#This Row],[CURRENT VALUE]]-AllocationTable[[#This Row],[AA]]</f>
        <v>0</v>
      </c>
      <c r="P60" s="364">
        <f>IFERROR(AllocationTable[[#This Row],[PROFIT]]/AllocationTable[[#This Row],[AA]],0)</f>
        <v>0</v>
      </c>
      <c r="Q60" s="395">
        <f>AllocationTable[[#This Row],[QNT]]*AllocationTable[[#This Row],[LTP]]</f>
        <v>0</v>
      </c>
      <c r="R60" s="395">
        <v>31814.75</v>
      </c>
      <c r="S60" s="395"/>
      <c r="T60" s="366">
        <v>2</v>
      </c>
      <c r="U60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16423.697999999997</v>
      </c>
      <c r="V60" s="367">
        <f ca="1">AllocationTable[[#This Row],[AA]]/AllocationTable[[#Totals],[AA]]</f>
        <v>0</v>
      </c>
      <c r="W60" s="360">
        <f>AllocationTable[[#This Row],[QNT]]*AllocationTable[[#This Row],[AVG.]]</f>
        <v>0</v>
      </c>
      <c r="X60" s="359">
        <v>10</v>
      </c>
      <c r="Y60" s="359" t="s">
        <v>310</v>
      </c>
      <c r="Z60" s="359">
        <v>-12</v>
      </c>
      <c r="AA60" s="359">
        <v>-12</v>
      </c>
      <c r="AB60" s="359">
        <v>15</v>
      </c>
      <c r="AC60" s="359">
        <v>25</v>
      </c>
      <c r="AD60" s="359" t="s">
        <v>316</v>
      </c>
    </row>
    <row r="61" spans="1:30" x14ac:dyDescent="0.25">
      <c r="A61" s="393" t="s">
        <v>124</v>
      </c>
      <c r="B61" s="394" t="s">
        <v>230</v>
      </c>
      <c r="C61" s="394" t="s">
        <v>42</v>
      </c>
      <c r="D61" s="394" t="s">
        <v>302</v>
      </c>
      <c r="E61" s="359">
        <f>_xlfn.IFNA(VLOOKUP(AllocationTable[[#This Row],[TRADE]],LatestDump!A:H,2,FALSE),0) + (_xlfn.IFNA(VLOOKUP(AllocationTable[[#This Row],[TRADE]],LongTerm!A:D,4,0),0))</f>
        <v>19</v>
      </c>
      <c r="F61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2600.6157894736839</v>
      </c>
      <c r="G61" s="360">
        <f>_xlfn.IFNA(ROUND(VLOOKUP(AllocationTable[[#This Row],[TRADE]],LatestDump!A:H,4,FALSE),2),0)</f>
        <v>3281.55</v>
      </c>
      <c r="H61" s="377">
        <v>3865</v>
      </c>
      <c r="I61" s="361">
        <f>AllocationTable[[#This Row],[EA]]-AllocationTable[[#This Row],[AA]]</f>
        <v>-30250.719000000001</v>
      </c>
      <c r="J61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61" s="346">
        <v>2550</v>
      </c>
      <c r="L61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3479 ,Qnt: -1</v>
      </c>
      <c r="M61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3092 ,Qnt: -2</v>
      </c>
      <c r="N61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2706 ,Qnt: -5</v>
      </c>
      <c r="O61" s="363">
        <f>AllocationTable[[#This Row],[CURRENT VALUE]]-AllocationTable[[#This Row],[AA]]</f>
        <v>12937.750000000007</v>
      </c>
      <c r="P61" s="364">
        <f>IFERROR(AllocationTable[[#This Row],[PROFIT]]/AllocationTable[[#This Row],[AA]],0)</f>
        <v>0.26183575954682814</v>
      </c>
      <c r="Q61" s="395">
        <f>AllocationTable[[#This Row],[QNT]]*AllocationTable[[#This Row],[LTP]]</f>
        <v>62349.450000000004</v>
      </c>
      <c r="R61" s="395">
        <v>0</v>
      </c>
      <c r="S61" s="395"/>
      <c r="T61" s="366">
        <v>1</v>
      </c>
      <c r="U61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19160.980999999996</v>
      </c>
      <c r="V61" s="367">
        <f ca="1">AllocationTable[[#This Row],[AA]]/AllocationTable[[#Totals],[AA]]</f>
        <v>5.7199446976201095E-3</v>
      </c>
      <c r="W61" s="360">
        <f>AllocationTable[[#This Row],[QNT]]*AllocationTable[[#This Row],[AVG.]]</f>
        <v>49411.7</v>
      </c>
      <c r="X61" s="359">
        <v>10</v>
      </c>
      <c r="Y61" s="359" t="s">
        <v>311</v>
      </c>
      <c r="Z61" s="359"/>
      <c r="AA61" s="359"/>
      <c r="AB61" s="359"/>
      <c r="AC61" s="359"/>
      <c r="AD61" s="359"/>
    </row>
    <row r="62" spans="1:30" x14ac:dyDescent="0.25">
      <c r="A62" s="381" t="s">
        <v>64</v>
      </c>
      <c r="B62" s="382" t="s">
        <v>139</v>
      </c>
      <c r="C62" s="382" t="s">
        <v>42</v>
      </c>
      <c r="D62" s="382" t="s">
        <v>302</v>
      </c>
      <c r="E62" s="359">
        <f>_xlfn.IFNA(VLOOKUP(AllocationTable[[#This Row],[TRADE]],LatestDump!A:H,2,FALSE),0) + (_xlfn.IFNA(VLOOKUP(AllocationTable[[#This Row],[TRADE]],LongTerm!A:D,4,0),0))</f>
        <v>0</v>
      </c>
      <c r="F62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62" s="360">
        <f>_xlfn.IFNA(ROUND(VLOOKUP(AllocationTable[[#This Row],[TRADE]],LatestDump!A:H,4,FALSE),2),0)</f>
        <v>0</v>
      </c>
      <c r="H62" s="377">
        <v>300</v>
      </c>
      <c r="I62" s="361">
        <f>AllocationTable[[#This Row],[EA]]-AllocationTable[[#This Row],[AA]]</f>
        <v>57482.942999999985</v>
      </c>
      <c r="J62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62" s="346"/>
      <c r="L62" s="362" t="e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#DIV/0!</v>
      </c>
      <c r="M62" s="362" t="e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#DIV/0!</v>
      </c>
      <c r="N62" s="362" t="e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#DIV/0!</v>
      </c>
      <c r="O62" s="363">
        <f>AllocationTable[[#This Row],[CURRENT VALUE]]-AllocationTable[[#This Row],[AA]]</f>
        <v>0</v>
      </c>
      <c r="P62" s="364">
        <f>IFERROR(AllocationTable[[#This Row],[PROFIT]]/AllocationTable[[#This Row],[AA]],0)</f>
        <v>0</v>
      </c>
      <c r="Q62" s="383">
        <f>AllocationTable[[#This Row],[QNT]]*AllocationTable[[#This Row],[LTP]]</f>
        <v>0</v>
      </c>
      <c r="R62" s="383">
        <v>23713.87</v>
      </c>
      <c r="S62" s="383"/>
      <c r="T62" s="366">
        <v>3</v>
      </c>
      <c r="U62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57482.942999999985</v>
      </c>
      <c r="V62" s="367">
        <f ca="1">AllocationTable[[#This Row],[AA]]/AllocationTable[[#Totals],[AA]]</f>
        <v>0</v>
      </c>
      <c r="W62" s="360">
        <f>AllocationTable[[#This Row],[QNT]]*AllocationTable[[#This Row],[AVG.]]</f>
        <v>0</v>
      </c>
      <c r="X62" s="359">
        <v>8</v>
      </c>
      <c r="Y62" s="359" t="s">
        <v>310</v>
      </c>
      <c r="Z62" s="359"/>
      <c r="AA62" s="359"/>
      <c r="AB62" s="359"/>
      <c r="AC62" s="359"/>
      <c r="AD62" s="359"/>
    </row>
    <row r="63" spans="1:30" x14ac:dyDescent="0.25">
      <c r="A63" s="378" t="s">
        <v>65</v>
      </c>
      <c r="B63" s="379" t="s">
        <v>202</v>
      </c>
      <c r="C63" s="379" t="s">
        <v>42</v>
      </c>
      <c r="D63" s="379" t="s">
        <v>303</v>
      </c>
      <c r="E63" s="359">
        <f>_xlfn.IFNA(VLOOKUP(AllocationTable[[#This Row],[TRADE]],LatestDump!A:H,2,FALSE),0) + (_xlfn.IFNA(VLOOKUP(AllocationTable[[#This Row],[TRADE]],LongTerm!A:D,4,0),0))</f>
        <v>10</v>
      </c>
      <c r="F63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1315</v>
      </c>
      <c r="G63" s="360">
        <f>_xlfn.IFNA(ROUND(VLOOKUP(AllocationTable[[#This Row],[TRADE]],LatestDump!A:H,4,FALSE),2),0)</f>
        <v>1351.45</v>
      </c>
      <c r="H63" s="346">
        <v>1350</v>
      </c>
      <c r="I63" s="361">
        <f>AllocationTable[[#This Row],[EA]]-AllocationTable[[#This Row],[AA]]</f>
        <v>-13150</v>
      </c>
      <c r="J63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63" s="346"/>
      <c r="L63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63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63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63" s="363">
        <f>AllocationTable[[#This Row],[CURRENT VALUE]]-AllocationTable[[#This Row],[AA]]</f>
        <v>364.5</v>
      </c>
      <c r="P63" s="364">
        <f>IFERROR(AllocationTable[[#This Row],[PROFIT]]/AllocationTable[[#This Row],[AA]],0)</f>
        <v>2.7718631178707223E-2</v>
      </c>
      <c r="Q63" s="380">
        <f>AllocationTable[[#This Row],[QNT]]*AllocationTable[[#This Row],[LTP]]</f>
        <v>13514.5</v>
      </c>
      <c r="R63" s="380">
        <v>31791.75</v>
      </c>
      <c r="S63" s="380"/>
      <c r="T63" s="366">
        <v>0</v>
      </c>
      <c r="U63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63" s="367">
        <f ca="1">AllocationTable[[#This Row],[AA]]/AllocationTable[[#Totals],[AA]]</f>
        <v>1.5222563233749182E-3</v>
      </c>
      <c r="W63" s="360">
        <f>AllocationTable[[#This Row],[QNT]]*AllocationTable[[#This Row],[AVG.]]</f>
        <v>13150</v>
      </c>
      <c r="X63" s="359">
        <v>-1</v>
      </c>
      <c r="Y63" s="359" t="s">
        <v>317</v>
      </c>
      <c r="Z63" s="359">
        <v>0</v>
      </c>
      <c r="AA63" s="359">
        <v>0</v>
      </c>
      <c r="AB63" s="359">
        <v>0</v>
      </c>
      <c r="AC63" s="359">
        <v>0</v>
      </c>
      <c r="AD63" s="359">
        <v>0</v>
      </c>
    </row>
    <row r="64" spans="1:30" x14ac:dyDescent="0.25">
      <c r="A64" s="378" t="s">
        <v>66</v>
      </c>
      <c r="B64" s="379" t="s">
        <v>202</v>
      </c>
      <c r="C64" s="379" t="s">
        <v>42</v>
      </c>
      <c r="D64" s="379" t="s">
        <v>302</v>
      </c>
      <c r="E64" s="359">
        <f>_xlfn.IFNA(VLOOKUP(AllocationTable[[#This Row],[TRADE]],LatestDump!A:H,2,FALSE),0) + (_xlfn.IFNA(VLOOKUP(AllocationTable[[#This Row],[TRADE]],LongTerm!A:D,4,0),0))</f>
        <v>200</v>
      </c>
      <c r="F64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82.96</v>
      </c>
      <c r="G64" s="360">
        <f>_xlfn.IFNA(ROUND(VLOOKUP(AllocationTable[[#This Row],[TRADE]],LatestDump!A:H,4,FALSE),2),0)</f>
        <v>85.94</v>
      </c>
      <c r="H64" s="346">
        <v>137</v>
      </c>
      <c r="I64" s="361">
        <f>AllocationTable[[#This Row],[EA]]-AllocationTable[[#This Row],[AA]]</f>
        <v>-16592</v>
      </c>
      <c r="J64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64" s="346"/>
      <c r="L64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124 ,Qnt: -27</v>
      </c>
      <c r="M64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110 ,Qnt: -57</v>
      </c>
      <c r="N64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96 ,Qnt: -108</v>
      </c>
      <c r="O64" s="363">
        <f>AllocationTable[[#This Row],[CURRENT VALUE]]-AllocationTable[[#This Row],[AA]]</f>
        <v>596</v>
      </c>
      <c r="P64" s="364">
        <f>IFERROR(AllocationTable[[#This Row],[PROFIT]]/AllocationTable[[#This Row],[AA]],0)</f>
        <v>3.592092574734812E-2</v>
      </c>
      <c r="Q64" s="380">
        <f>AllocationTable[[#This Row],[QNT]]*AllocationTable[[#This Row],[LTP]]</f>
        <v>17188</v>
      </c>
      <c r="R64" s="380">
        <v>27835.25</v>
      </c>
      <c r="S64" s="380"/>
      <c r="T64" s="366">
        <v>0</v>
      </c>
      <c r="U64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64" s="367">
        <f ca="1">AllocationTable[[#This Row],[AA]]/AllocationTable[[#Totals],[AA]]</f>
        <v>1.9207054690065888E-3</v>
      </c>
      <c r="W64" s="360">
        <f>AllocationTable[[#This Row],[QNT]]*AllocationTable[[#This Row],[AVG.]]</f>
        <v>16592</v>
      </c>
      <c r="X64" s="359">
        <v>10</v>
      </c>
      <c r="Y64" s="359" t="s">
        <v>314</v>
      </c>
      <c r="Z64" s="359"/>
      <c r="AA64" s="359"/>
      <c r="AB64" s="359"/>
      <c r="AC64" s="359"/>
      <c r="AD64" s="359"/>
    </row>
    <row r="65" spans="1:30" x14ac:dyDescent="0.25">
      <c r="A65" s="378" t="s">
        <v>67</v>
      </c>
      <c r="B65" s="379" t="s">
        <v>202</v>
      </c>
      <c r="C65" s="379" t="s">
        <v>42</v>
      </c>
      <c r="D65" s="379" t="s">
        <v>303</v>
      </c>
      <c r="E65" s="359">
        <f>_xlfn.IFNA(VLOOKUP(AllocationTable[[#This Row],[TRADE]],LatestDump!A:H,2,FALSE),0) + (_xlfn.IFNA(VLOOKUP(AllocationTable[[#This Row],[TRADE]],LongTerm!A:D,4,0),0))</f>
        <v>0</v>
      </c>
      <c r="F65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65" s="360">
        <f>_xlfn.IFNA(ROUND(VLOOKUP(AllocationTable[[#This Row],[TRADE]],LatestDump!A:H,4,FALSE),2),0)</f>
        <v>0</v>
      </c>
      <c r="H65" s="346">
        <v>7920</v>
      </c>
      <c r="I65" s="361">
        <f>AllocationTable[[#This Row],[EA]]-AllocationTable[[#This Row],[AA]]</f>
        <v>0</v>
      </c>
      <c r="J65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65" s="346"/>
      <c r="L65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65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65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65" s="363">
        <f>AllocationTable[[#This Row],[CURRENT VALUE]]-AllocationTable[[#This Row],[AA]]</f>
        <v>0</v>
      </c>
      <c r="P65" s="364">
        <f>IFERROR(AllocationTable[[#This Row],[PROFIT]]/AllocationTable[[#This Row],[AA]],0)</f>
        <v>0</v>
      </c>
      <c r="Q65" s="380">
        <f>AllocationTable[[#This Row],[QNT]]*AllocationTable[[#This Row],[LTP]]</f>
        <v>0</v>
      </c>
      <c r="R65" s="380">
        <v>37305.85</v>
      </c>
      <c r="S65" s="380"/>
      <c r="T65" s="366">
        <v>0</v>
      </c>
      <c r="U65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65" s="367">
        <f ca="1">AllocationTable[[#This Row],[AA]]/AllocationTable[[#Totals],[AA]]</f>
        <v>0</v>
      </c>
      <c r="W65" s="360">
        <f>AllocationTable[[#This Row],[QNT]]*AllocationTable[[#This Row],[AVG.]]</f>
        <v>0</v>
      </c>
      <c r="X65" s="359">
        <v>-1</v>
      </c>
      <c r="Y65" s="359" t="s">
        <v>317</v>
      </c>
      <c r="Z65" s="359">
        <v>0</v>
      </c>
      <c r="AA65" s="359">
        <v>0</v>
      </c>
      <c r="AB65" s="359">
        <v>0</v>
      </c>
      <c r="AC65" s="359">
        <v>0</v>
      </c>
      <c r="AD65" s="359">
        <v>0</v>
      </c>
    </row>
    <row r="66" spans="1:30" x14ac:dyDescent="0.25">
      <c r="A66" s="378" t="s">
        <v>70</v>
      </c>
      <c r="B66" s="379" t="s">
        <v>202</v>
      </c>
      <c r="C66" s="379" t="s">
        <v>42</v>
      </c>
      <c r="D66" s="379" t="s">
        <v>302</v>
      </c>
      <c r="E66" s="359">
        <f>_xlfn.IFNA(VLOOKUP(AllocationTable[[#This Row],[TRADE]],LatestDump!A:H,2,FALSE),0) + (_xlfn.IFNA(VLOOKUP(AllocationTable[[#This Row],[TRADE]],LongTerm!A:D,4,0),0))</f>
        <v>140</v>
      </c>
      <c r="F66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1960.0785714285714</v>
      </c>
      <c r="G66" s="360">
        <f>_xlfn.IFNA(ROUND(VLOOKUP(AllocationTable[[#This Row],[TRADE]],LatestDump!A:H,4,FALSE),2),0)</f>
        <v>3281.2</v>
      </c>
      <c r="H66" s="346">
        <v>3030</v>
      </c>
      <c r="I66" s="361">
        <f>AllocationTable[[#This Row],[EA]]-AllocationTable[[#This Row],[AA]]</f>
        <v>-82801.190000000031</v>
      </c>
      <c r="J66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66" s="346"/>
      <c r="L66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2727 ,Qnt: -3</v>
      </c>
      <c r="M66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2424 ,Qnt: -7</v>
      </c>
      <c r="N66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2121 ,Qnt: -14</v>
      </c>
      <c r="O66" s="363">
        <f>AllocationTable[[#This Row],[CURRENT VALUE]]-AllocationTable[[#This Row],[AA]]</f>
        <v>184957</v>
      </c>
      <c r="P66" s="364">
        <f>IFERROR(AllocationTable[[#This Row],[PROFIT]]/AllocationTable[[#This Row],[AA]],0)</f>
        <v>0.67401452565677034</v>
      </c>
      <c r="Q66" s="380">
        <f>AllocationTable[[#This Row],[QNT]]*AllocationTable[[#This Row],[LTP]]</f>
        <v>459368</v>
      </c>
      <c r="R66" s="380">
        <v>258761.5</v>
      </c>
      <c r="S66" s="380"/>
      <c r="T66" s="366">
        <v>10</v>
      </c>
      <c r="U66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191609.80999999997</v>
      </c>
      <c r="V66" s="367">
        <f ca="1">AllocationTable[[#This Row],[AA]]/AllocationTable[[#Totals],[AA]]</f>
        <v>3.1766074521188951E-2</v>
      </c>
      <c r="W66" s="360">
        <f>AllocationTable[[#This Row],[QNT]]*AllocationTable[[#This Row],[AVG.]]</f>
        <v>274411</v>
      </c>
      <c r="X66" s="359">
        <v>10</v>
      </c>
      <c r="Y66" s="359" t="s">
        <v>310</v>
      </c>
      <c r="Z66" s="359"/>
      <c r="AA66" s="359"/>
      <c r="AB66" s="359"/>
      <c r="AC66" s="359"/>
      <c r="AD66" s="359"/>
    </row>
    <row r="67" spans="1:30" x14ac:dyDescent="0.25">
      <c r="A67" s="378" t="s">
        <v>71</v>
      </c>
      <c r="B67" s="379" t="s">
        <v>202</v>
      </c>
      <c r="C67" s="379" t="s">
        <v>42</v>
      </c>
      <c r="D67" s="379" t="s">
        <v>302</v>
      </c>
      <c r="E67" s="359">
        <f>_xlfn.IFNA(VLOOKUP(AllocationTable[[#This Row],[TRADE]],LatestDump!A:H,2,FALSE),0) + (_xlfn.IFNA(VLOOKUP(AllocationTable[[#This Row],[TRADE]],LongTerm!A:D,4,0),0))</f>
        <v>50</v>
      </c>
      <c r="F67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639.45000000000005</v>
      </c>
      <c r="G67" s="360">
        <f>_xlfn.IFNA(ROUND(VLOOKUP(AllocationTable[[#This Row],[TRADE]],LatestDump!A:H,4,FALSE),2),0)</f>
        <v>715.9</v>
      </c>
      <c r="H67" s="346">
        <v>905</v>
      </c>
      <c r="I67" s="361">
        <f>AllocationTable[[#This Row],[EA]]-AllocationTable[[#This Row],[AA]]</f>
        <v>14013.854399999986</v>
      </c>
      <c r="J67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67" s="346"/>
      <c r="L67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833 ,Qnt: 3</v>
      </c>
      <c r="M67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761 ,Qnt: 6</v>
      </c>
      <c r="N67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688 ,Qnt: 11</v>
      </c>
      <c r="O67" s="363">
        <f>AllocationTable[[#This Row],[CURRENT VALUE]]-AllocationTable[[#This Row],[AA]]</f>
        <v>3822.4999999999964</v>
      </c>
      <c r="P67" s="364">
        <f>IFERROR(AllocationTable[[#This Row],[PROFIT]]/AllocationTable[[#This Row],[AA]],0)</f>
        <v>0.11955586832434111</v>
      </c>
      <c r="Q67" s="380">
        <f>AllocationTable[[#This Row],[QNT]]*AllocationTable[[#This Row],[LTP]]</f>
        <v>35795</v>
      </c>
      <c r="R67" s="380">
        <v>25262</v>
      </c>
      <c r="S67" s="380"/>
      <c r="T67" s="366">
        <v>2.4</v>
      </c>
      <c r="U67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45986.354399999989</v>
      </c>
      <c r="V67" s="367">
        <f ca="1">AllocationTable[[#This Row],[AA]]/AllocationTable[[#Totals],[AA]]</f>
        <v>3.7011665626695495E-3</v>
      </c>
      <c r="W67" s="360">
        <f>AllocationTable[[#This Row],[QNT]]*AllocationTable[[#This Row],[AVG.]]</f>
        <v>31972.500000000004</v>
      </c>
      <c r="X67" s="359">
        <v>8</v>
      </c>
      <c r="Y67" s="359" t="s">
        <v>310</v>
      </c>
      <c r="Z67" s="359"/>
      <c r="AA67" s="359"/>
      <c r="AB67" s="359"/>
      <c r="AC67" s="359"/>
      <c r="AD67" s="359"/>
    </row>
    <row r="68" spans="1:30" x14ac:dyDescent="0.25">
      <c r="A68" s="378" t="s">
        <v>72</v>
      </c>
      <c r="B68" s="379" t="s">
        <v>202</v>
      </c>
      <c r="C68" s="379" t="s">
        <v>42</v>
      </c>
      <c r="D68" s="379" t="s">
        <v>302</v>
      </c>
      <c r="E68" s="359">
        <f>_xlfn.IFNA(VLOOKUP(AllocationTable[[#This Row],[TRADE]],LatestDump!A:H,2,FALSE),0) + (_xlfn.IFNA(VLOOKUP(AllocationTable[[#This Row],[TRADE]],LongTerm!A:D,4,0),0))</f>
        <v>45</v>
      </c>
      <c r="F68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1219.0522222222221</v>
      </c>
      <c r="G68" s="360">
        <f>_xlfn.IFNA(ROUND(VLOOKUP(AllocationTable[[#This Row],[TRADE]],LatestDump!A:H,4,FALSE),2),0)</f>
        <v>1303.4000000000001</v>
      </c>
      <c r="H68" s="346">
        <v>1830</v>
      </c>
      <c r="I68" s="361">
        <f>AllocationTable[[#This Row],[EA]]-AllocationTable[[#This Row],[AA]]</f>
        <v>-8870.995600000002</v>
      </c>
      <c r="J68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68" s="346"/>
      <c r="L68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1684 ,Qnt: 0</v>
      </c>
      <c r="M68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1538 ,Qnt: -2</v>
      </c>
      <c r="N68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1391 ,Qnt: -3</v>
      </c>
      <c r="O68" s="363">
        <f>AllocationTable[[#This Row],[CURRENT VALUE]]-AllocationTable[[#This Row],[AA]]</f>
        <v>3795.650000000016</v>
      </c>
      <c r="P68" s="364">
        <f>IFERROR(AllocationTable[[#This Row],[PROFIT]]/AllocationTable[[#This Row],[AA]],0)</f>
        <v>6.9191275189195559E-2</v>
      </c>
      <c r="Q68" s="380">
        <f>AllocationTable[[#This Row],[QNT]]*AllocationTable[[#This Row],[LTP]]</f>
        <v>58653.000000000007</v>
      </c>
      <c r="R68" s="380">
        <v>47757.35</v>
      </c>
      <c r="S68" s="380"/>
      <c r="T68" s="366">
        <v>2.4</v>
      </c>
      <c r="U68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45986.354399999989</v>
      </c>
      <c r="V68" s="367">
        <f ca="1">AllocationTable[[#This Row],[AA]]/AllocationTable[[#Totals],[AA]]</f>
        <v>6.3503382449498899E-3</v>
      </c>
      <c r="W68" s="360">
        <f>AllocationTable[[#This Row],[QNT]]*AllocationTable[[#This Row],[AVG.]]</f>
        <v>54857.349999999991</v>
      </c>
      <c r="X68" s="359">
        <v>8</v>
      </c>
      <c r="Y68" s="359" t="s">
        <v>310</v>
      </c>
      <c r="Z68" s="359"/>
      <c r="AA68" s="359"/>
      <c r="AB68" s="359"/>
      <c r="AC68" s="359"/>
      <c r="AD68" s="359"/>
    </row>
    <row r="69" spans="1:30" x14ac:dyDescent="0.25">
      <c r="A69" s="378" t="s">
        <v>208</v>
      </c>
      <c r="B69" s="379" t="s">
        <v>202</v>
      </c>
      <c r="C69" s="379" t="s">
        <v>42</v>
      </c>
      <c r="D69" s="379" t="s">
        <v>302</v>
      </c>
      <c r="E69" s="359">
        <f>_xlfn.IFNA(VLOOKUP(AllocationTable[[#This Row],[TRADE]],LatestDump!A:H,2,FALSE),0) + (_xlfn.IFNA(VLOOKUP(AllocationTable[[#This Row],[TRADE]],LongTerm!A:D,4,0),0))</f>
        <v>100</v>
      </c>
      <c r="F69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160.42099999999999</v>
      </c>
      <c r="G69" s="360">
        <f>_xlfn.IFNA(ROUND(VLOOKUP(AllocationTable[[#This Row],[TRADE]],LatestDump!A:H,4,FALSE),2),0)</f>
        <v>193.7</v>
      </c>
      <c r="H69" s="346">
        <v>190</v>
      </c>
      <c r="I69" s="361">
        <f>AllocationTable[[#This Row],[EA]]-AllocationTable[[#This Row],[AA]]</f>
        <v>24195.960099999997</v>
      </c>
      <c r="J69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69" s="346"/>
      <c r="L69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171 ,Qnt: 18</v>
      </c>
      <c r="M69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152 ,Qnt: 38</v>
      </c>
      <c r="N69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133 ,Qnt: 70</v>
      </c>
      <c r="O69" s="363">
        <f>AllocationTable[[#This Row],[CURRENT VALUE]]-AllocationTable[[#This Row],[AA]]</f>
        <v>3327.9000000000015</v>
      </c>
      <c r="P69" s="364">
        <f>IFERROR(AllocationTable[[#This Row],[PROFIT]]/AllocationTable[[#This Row],[AA]],0)</f>
        <v>0.20744790270600494</v>
      </c>
      <c r="Q69" s="380">
        <f>AllocationTable[[#This Row],[QNT]]*AllocationTable[[#This Row],[LTP]]</f>
        <v>19370</v>
      </c>
      <c r="R69" s="380">
        <v>6733.7</v>
      </c>
      <c r="S69" s="380"/>
      <c r="T69" s="366">
        <v>2.1</v>
      </c>
      <c r="U69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40238.060099999995</v>
      </c>
      <c r="V69" s="367">
        <f ca="1">AllocationTable[[#This Row],[AA]]/AllocationTable[[#Totals],[AA]]</f>
        <v>1.8570485296739751E-3</v>
      </c>
      <c r="W69" s="360">
        <f>AllocationTable[[#This Row],[QNT]]*AllocationTable[[#This Row],[AVG.]]</f>
        <v>16042.099999999999</v>
      </c>
      <c r="X69" s="359">
        <v>10</v>
      </c>
      <c r="Y69" s="359" t="s">
        <v>312</v>
      </c>
      <c r="Z69" s="359"/>
      <c r="AA69" s="359"/>
      <c r="AB69" s="359"/>
      <c r="AC69" s="359"/>
      <c r="AD69" s="359"/>
    </row>
    <row r="70" spans="1:30" x14ac:dyDescent="0.25">
      <c r="A70" s="378" t="s">
        <v>83</v>
      </c>
      <c r="B70" s="379" t="s">
        <v>202</v>
      </c>
      <c r="C70" s="379" t="s">
        <v>42</v>
      </c>
      <c r="D70" s="379" t="s">
        <v>304</v>
      </c>
      <c r="E70" s="359">
        <f>_xlfn.IFNA(VLOOKUP(AllocationTable[[#This Row],[TRADE]],LatestDump!A:H,2,FALSE),0) + (_xlfn.IFNA(VLOOKUP(AllocationTable[[#This Row],[TRADE]],LongTerm!A:D,4,0),0))</f>
        <v>0</v>
      </c>
      <c r="F70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70" s="360">
        <f>_xlfn.IFNA(ROUND(VLOOKUP(AllocationTable[[#This Row],[TRADE]],LatestDump!A:H,4,FALSE),2),0)</f>
        <v>0</v>
      </c>
      <c r="H70" s="346">
        <v>890</v>
      </c>
      <c r="I70" s="361">
        <f>AllocationTable[[#This Row],[EA]]-AllocationTable[[#This Row],[AA]]</f>
        <v>6569.4791999999989</v>
      </c>
      <c r="J70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70" s="346"/>
      <c r="L70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70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70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70" s="363">
        <f>AllocationTable[[#This Row],[CURRENT VALUE]]-AllocationTable[[#This Row],[AA]]</f>
        <v>0</v>
      </c>
      <c r="P70" s="364">
        <f>IFERROR(AllocationTable[[#This Row],[PROFIT]]/AllocationTable[[#This Row],[AA]],0)</f>
        <v>0</v>
      </c>
      <c r="Q70" s="380">
        <f>AllocationTable[[#This Row],[QNT]]*AllocationTable[[#This Row],[LTP]]</f>
        <v>0</v>
      </c>
      <c r="R70" s="380">
        <v>22941.9</v>
      </c>
      <c r="S70" s="380"/>
      <c r="T70" s="366">
        <v>0.8</v>
      </c>
      <c r="U70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6569.4791999999989</v>
      </c>
      <c r="V70" s="367">
        <f ca="1">AllocationTable[[#This Row],[AA]]/AllocationTable[[#Totals],[AA]]</f>
        <v>0</v>
      </c>
      <c r="W70" s="360">
        <f>AllocationTable[[#This Row],[QNT]]*AllocationTable[[#This Row],[AVG.]]</f>
        <v>0</v>
      </c>
      <c r="X70" s="359">
        <v>-1</v>
      </c>
      <c r="Y70" s="359" t="s">
        <v>314</v>
      </c>
      <c r="Z70" s="359">
        <v>-8</v>
      </c>
      <c r="AA70" s="359">
        <v>-8</v>
      </c>
      <c r="AB70" s="359">
        <v>0</v>
      </c>
      <c r="AC70" s="359">
        <v>15</v>
      </c>
      <c r="AD70" s="359" t="s">
        <v>315</v>
      </c>
    </row>
    <row r="71" spans="1:30" x14ac:dyDescent="0.25">
      <c r="A71" s="378" t="s">
        <v>84</v>
      </c>
      <c r="B71" s="379" t="s">
        <v>202</v>
      </c>
      <c r="C71" s="379" t="s">
        <v>42</v>
      </c>
      <c r="D71" s="379" t="s">
        <v>302</v>
      </c>
      <c r="E71" s="359">
        <f>_xlfn.IFNA(VLOOKUP(AllocationTable[[#This Row],[TRADE]],LatestDump!A:H,2,FALSE),0) + (_xlfn.IFNA(VLOOKUP(AllocationTable[[#This Row],[TRADE]],LongTerm!A:D,4,0),0))</f>
        <v>36</v>
      </c>
      <c r="F71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2169.1847222222223</v>
      </c>
      <c r="G71" s="360">
        <f>_xlfn.IFNA(ROUND(VLOOKUP(AllocationTable[[#This Row],[TRADE]],LatestDump!A:H,4,FALSE),2),0)</f>
        <v>2619.5500000000002</v>
      </c>
      <c r="H71" s="346">
        <v>3000</v>
      </c>
      <c r="I71" s="361">
        <f>AllocationTable[[#This Row],[EA]]-AllocationTable[[#This Row],[AA]]</f>
        <v>-20607.707000000009</v>
      </c>
      <c r="J71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71" s="346"/>
      <c r="L71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2760 ,Qnt: -1</v>
      </c>
      <c r="M71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2520 ,Qnt: -2</v>
      </c>
      <c r="N71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2280 ,Qnt: -4</v>
      </c>
      <c r="O71" s="363">
        <f>AllocationTable[[#This Row],[CURRENT VALUE]]-AllocationTable[[#This Row],[AA]]</f>
        <v>16213.150000000009</v>
      </c>
      <c r="P71" s="364">
        <f>IFERROR(AllocationTable[[#This Row],[PROFIT]]/AllocationTable[[#This Row],[AA]],0)</f>
        <v>0.20761960618844907</v>
      </c>
      <c r="Q71" s="380">
        <f>AllocationTable[[#This Row],[QNT]]*AllocationTable[[#This Row],[LTP]]</f>
        <v>94303.8</v>
      </c>
      <c r="R71" s="380">
        <v>28199.25</v>
      </c>
      <c r="S71" s="380"/>
      <c r="T71" s="366">
        <v>3</v>
      </c>
      <c r="U71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57482.942999999985</v>
      </c>
      <c r="V71" s="367">
        <f ca="1">AllocationTable[[#This Row],[AA]]/AllocationTable[[#Totals],[AA]]</f>
        <v>9.0398468257762397E-3</v>
      </c>
      <c r="W71" s="360">
        <f>AllocationTable[[#This Row],[QNT]]*AllocationTable[[#This Row],[AVG.]]</f>
        <v>78090.649999999994</v>
      </c>
      <c r="X71" s="359">
        <v>8</v>
      </c>
      <c r="Y71" s="359" t="s">
        <v>310</v>
      </c>
      <c r="Z71" s="359"/>
      <c r="AA71" s="359"/>
      <c r="AB71" s="359"/>
      <c r="AC71" s="359"/>
      <c r="AD71" s="359"/>
    </row>
    <row r="72" spans="1:30" x14ac:dyDescent="0.25">
      <c r="A72" s="378" t="s">
        <v>85</v>
      </c>
      <c r="B72" s="379" t="s">
        <v>202</v>
      </c>
      <c r="C72" s="379" t="s">
        <v>42</v>
      </c>
      <c r="D72" s="379" t="s">
        <v>303</v>
      </c>
      <c r="E72" s="359">
        <f>_xlfn.IFNA(VLOOKUP(AllocationTable[[#This Row],[TRADE]],LatestDump!A:H,2,FALSE),0) + (_xlfn.IFNA(VLOOKUP(AllocationTable[[#This Row],[TRADE]],LongTerm!A:D,4,0),0))</f>
        <v>80</v>
      </c>
      <c r="F72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836.76250000000005</v>
      </c>
      <c r="G72" s="360">
        <f>_xlfn.IFNA(ROUND(VLOOKUP(AllocationTable[[#This Row],[TRADE]],LatestDump!A:H,4,FALSE),2),0)</f>
        <v>810.4</v>
      </c>
      <c r="H72" s="346">
        <v>1735</v>
      </c>
      <c r="I72" s="361">
        <f>AllocationTable[[#This Row],[EA]]-AllocationTable[[#This Row],[AA]]</f>
        <v>-66941</v>
      </c>
      <c r="J72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72" s="346"/>
      <c r="L72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72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72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72" s="363">
        <f>AllocationTable[[#This Row],[CURRENT VALUE]]-AllocationTable[[#This Row],[AA]]</f>
        <v>-2109</v>
      </c>
      <c r="P72" s="364">
        <f>IFERROR(AllocationTable[[#This Row],[PROFIT]]/AllocationTable[[#This Row],[AA]],0)</f>
        <v>-3.1505355462272747E-2</v>
      </c>
      <c r="Q72" s="380">
        <f>AllocationTable[[#This Row],[QNT]]*AllocationTable[[#This Row],[LTP]]</f>
        <v>64832</v>
      </c>
      <c r="R72" s="380">
        <v>32436</v>
      </c>
      <c r="S72" s="380"/>
      <c r="T72" s="366">
        <v>0</v>
      </c>
      <c r="U72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72" s="367">
        <f ca="1">AllocationTable[[#This Row],[AA]]/AllocationTable[[#Totals],[AA]]</f>
        <v>7.7491528930068746E-3</v>
      </c>
      <c r="W72" s="360">
        <f>AllocationTable[[#This Row],[QNT]]*AllocationTable[[#This Row],[AVG.]]</f>
        <v>66941</v>
      </c>
      <c r="X72" s="359">
        <v>-1</v>
      </c>
      <c r="Y72" s="359" t="s">
        <v>317</v>
      </c>
      <c r="Z72" s="359">
        <v>0</v>
      </c>
      <c r="AA72" s="359">
        <v>0</v>
      </c>
      <c r="AB72" s="359">
        <v>0</v>
      </c>
      <c r="AC72" s="359">
        <v>0</v>
      </c>
      <c r="AD72" s="359">
        <v>0</v>
      </c>
    </row>
    <row r="73" spans="1:30" x14ac:dyDescent="0.25">
      <c r="A73" s="378" t="s">
        <v>88</v>
      </c>
      <c r="B73" s="379" t="s">
        <v>202</v>
      </c>
      <c r="C73" s="379" t="s">
        <v>42</v>
      </c>
      <c r="D73" s="379" t="s">
        <v>302</v>
      </c>
      <c r="E73" s="359">
        <f>_xlfn.IFNA(VLOOKUP(AllocationTable[[#This Row],[TRADE]],LatestDump!A:H,2,FALSE),0) + (_xlfn.IFNA(VLOOKUP(AllocationTable[[#This Row],[TRADE]],LongTerm!A:D,4,0),0))</f>
        <v>150</v>
      </c>
      <c r="F73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172.78</v>
      </c>
      <c r="G73" s="360">
        <f>_xlfn.IFNA(ROUND(VLOOKUP(AllocationTable[[#This Row],[TRADE]],LatestDump!A:H,4,FALSE),2),0)</f>
        <v>184</v>
      </c>
      <c r="H73" s="346">
        <v>255</v>
      </c>
      <c r="I73" s="361">
        <f>AllocationTable[[#This Row],[EA]]-AllocationTable[[#This Row],[AA]]</f>
        <v>14321.060099999995</v>
      </c>
      <c r="J73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73" s="346"/>
      <c r="L73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230 ,Qnt: 11</v>
      </c>
      <c r="M73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204 ,Qnt: 24</v>
      </c>
      <c r="N73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179 ,Qnt: 44</v>
      </c>
      <c r="O73" s="363">
        <f>AllocationTable[[#This Row],[CURRENT VALUE]]-AllocationTable[[#This Row],[AA]]</f>
        <v>1683</v>
      </c>
      <c r="P73" s="364">
        <f>IFERROR(AllocationTable[[#This Row],[PROFIT]]/AllocationTable[[#This Row],[AA]],0)</f>
        <v>6.4938071536057421E-2</v>
      </c>
      <c r="Q73" s="380">
        <f>AllocationTable[[#This Row],[QNT]]*AllocationTable[[#This Row],[LTP]]</f>
        <v>27600</v>
      </c>
      <c r="R73" s="380">
        <v>10559.04</v>
      </c>
      <c r="S73" s="380"/>
      <c r="T73" s="366">
        <v>2.1</v>
      </c>
      <c r="U73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40238.060099999995</v>
      </c>
      <c r="V73" s="367">
        <f ca="1">AllocationTable[[#This Row],[AA]]/AllocationTable[[#Totals],[AA]]</f>
        <v>3.0001762078256848E-3</v>
      </c>
      <c r="W73" s="360">
        <f>AllocationTable[[#This Row],[QNT]]*AllocationTable[[#This Row],[AVG.]]</f>
        <v>25917</v>
      </c>
      <c r="X73" s="359">
        <v>10</v>
      </c>
      <c r="Y73" s="359" t="s">
        <v>314</v>
      </c>
      <c r="Z73" s="359"/>
      <c r="AA73" s="359"/>
      <c r="AB73" s="359"/>
      <c r="AC73" s="359"/>
      <c r="AD73" s="359"/>
    </row>
    <row r="74" spans="1:30" x14ac:dyDescent="0.25">
      <c r="A74" s="378" t="s">
        <v>262</v>
      </c>
      <c r="B74" s="379" t="s">
        <v>202</v>
      </c>
      <c r="C74" s="379" t="s">
        <v>42</v>
      </c>
      <c r="D74" s="379" t="s">
        <v>302</v>
      </c>
      <c r="E74" s="359">
        <f>_xlfn.IFNA(VLOOKUP(AllocationTable[[#This Row],[TRADE]],LatestDump!A:H,2,FALSE),0) + (_xlfn.IFNA(VLOOKUP(AllocationTable[[#This Row],[TRADE]],LongTerm!A:D,4,0),0))</f>
        <v>8</v>
      </c>
      <c r="F74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2306.125</v>
      </c>
      <c r="G74" s="360">
        <f>_xlfn.IFNA(ROUND(VLOOKUP(AllocationTable[[#This Row],[TRADE]],LatestDump!A:H,4,FALSE),2),0)</f>
        <v>3390.2</v>
      </c>
      <c r="H74" s="346">
        <v>3193</v>
      </c>
      <c r="I74" s="361">
        <f>AllocationTable[[#This Row],[EA]]-AllocationTable[[#This Row],[AA]]</f>
        <v>27537.354399999989</v>
      </c>
      <c r="J74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74" s="346"/>
      <c r="L74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2874 ,Qnt: 2</v>
      </c>
      <c r="M74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2555 ,Qnt: 3</v>
      </c>
      <c r="N74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2236 ,Qnt: 5</v>
      </c>
      <c r="O74" s="363">
        <f>AllocationTable[[#This Row],[CURRENT VALUE]]-AllocationTable[[#This Row],[AA]]</f>
        <v>8672.5999999999985</v>
      </c>
      <c r="P74" s="364">
        <f>IFERROR(AllocationTable[[#This Row],[PROFIT]]/AllocationTable[[#This Row],[AA]],0)</f>
        <v>0.47008509946338545</v>
      </c>
      <c r="Q74" s="380">
        <f>AllocationTable[[#This Row],[QNT]]*AllocationTable[[#This Row],[LTP]]</f>
        <v>27121.599999999999</v>
      </c>
      <c r="R74" s="380">
        <v>25980</v>
      </c>
      <c r="S74" s="380"/>
      <c r="T74" s="366">
        <v>2.4</v>
      </c>
      <c r="U74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45986.354399999989</v>
      </c>
      <c r="V74" s="367">
        <f ca="1">AllocationTable[[#This Row],[AA]]/AllocationTable[[#Totals],[AA]]</f>
        <v>2.1356735292732978E-3</v>
      </c>
      <c r="W74" s="360">
        <f>AllocationTable[[#This Row],[QNT]]*AllocationTable[[#This Row],[AVG.]]</f>
        <v>18449</v>
      </c>
      <c r="X74" s="359">
        <v>10</v>
      </c>
      <c r="Y74" s="359" t="s">
        <v>312</v>
      </c>
      <c r="Z74" s="359"/>
      <c r="AA74" s="359"/>
      <c r="AB74" s="359"/>
      <c r="AC74" s="359"/>
      <c r="AD74" s="359"/>
    </row>
    <row r="75" spans="1:30" x14ac:dyDescent="0.25">
      <c r="A75" s="378" t="s">
        <v>89</v>
      </c>
      <c r="B75" s="379" t="s">
        <v>202</v>
      </c>
      <c r="C75" s="379" t="s">
        <v>42</v>
      </c>
      <c r="D75" s="379" t="s">
        <v>303</v>
      </c>
      <c r="E75" s="359">
        <f>_xlfn.IFNA(VLOOKUP(AllocationTable[[#This Row],[TRADE]],LatestDump!A:H,2,FALSE),0) + (_xlfn.IFNA(VLOOKUP(AllocationTable[[#This Row],[TRADE]],LongTerm!A:D,4,0),0))</f>
        <v>40</v>
      </c>
      <c r="F75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1284.3499999999999</v>
      </c>
      <c r="G75" s="360">
        <f>_xlfn.IFNA(ROUND(VLOOKUP(AllocationTable[[#This Row],[TRADE]],LatestDump!A:H,4,FALSE),2),0)</f>
        <v>1322</v>
      </c>
      <c r="H75" s="346">
        <v>1500</v>
      </c>
      <c r="I75" s="361">
        <f>AllocationTable[[#This Row],[EA]]-AllocationTable[[#This Row],[AA]]</f>
        <v>-51374</v>
      </c>
      <c r="J75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75" s="346"/>
      <c r="L75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75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75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75" s="363">
        <f>AllocationTable[[#This Row],[CURRENT VALUE]]-AllocationTable[[#This Row],[AA]]</f>
        <v>1506</v>
      </c>
      <c r="P75" s="364">
        <f>IFERROR(AllocationTable[[#This Row],[PROFIT]]/AllocationTable[[#This Row],[AA]],0)</f>
        <v>2.931443921049558E-2</v>
      </c>
      <c r="Q75" s="380">
        <f>AllocationTable[[#This Row],[QNT]]*AllocationTable[[#This Row],[LTP]]</f>
        <v>52880</v>
      </c>
      <c r="R75" s="380">
        <v>33083.449999999997</v>
      </c>
      <c r="S75" s="380"/>
      <c r="T75" s="366">
        <v>0</v>
      </c>
      <c r="U75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75" s="367">
        <f ca="1">AllocationTable[[#This Row],[AA]]/AllocationTable[[#Totals],[AA]]</f>
        <v>5.9471023845675325E-3</v>
      </c>
      <c r="W75" s="360">
        <f>AllocationTable[[#This Row],[QNT]]*AllocationTable[[#This Row],[AVG.]]</f>
        <v>51374</v>
      </c>
      <c r="X75" s="359">
        <v>-1</v>
      </c>
      <c r="Y75" s="359" t="s">
        <v>317</v>
      </c>
      <c r="Z75" s="359">
        <v>0</v>
      </c>
      <c r="AA75" s="359">
        <v>0</v>
      </c>
      <c r="AB75" s="359">
        <v>0</v>
      </c>
      <c r="AC75" s="359">
        <v>0</v>
      </c>
      <c r="AD75" s="359">
        <v>0</v>
      </c>
    </row>
    <row r="76" spans="1:30" x14ac:dyDescent="0.25">
      <c r="A76" s="378" t="s">
        <v>90</v>
      </c>
      <c r="B76" s="379" t="s">
        <v>202</v>
      </c>
      <c r="C76" s="379" t="s">
        <v>42</v>
      </c>
      <c r="D76" s="379" t="s">
        <v>304</v>
      </c>
      <c r="E76" s="359">
        <f>_xlfn.IFNA(VLOOKUP(AllocationTable[[#This Row],[TRADE]],LatestDump!A:H,2,FALSE),0) + (_xlfn.IFNA(VLOOKUP(AllocationTable[[#This Row],[TRADE]],LongTerm!A:D,4,0),0))</f>
        <v>0</v>
      </c>
      <c r="F76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76" s="360">
        <f>_xlfn.IFNA(ROUND(VLOOKUP(AllocationTable[[#This Row],[TRADE]],LatestDump!A:H,4,FALSE),2),0)</f>
        <v>0</v>
      </c>
      <c r="H76" s="346">
        <v>210</v>
      </c>
      <c r="I76" s="361">
        <f>AllocationTable[[#This Row],[EA]]-AllocationTable[[#This Row],[AA]]</f>
        <v>13138.958399999998</v>
      </c>
      <c r="J76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76" s="346"/>
      <c r="L76" s="362" t="e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#DIV/0!</v>
      </c>
      <c r="M76" s="360" t="e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#DIV/0!</v>
      </c>
      <c r="N76" s="362" t="e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#DIV/0!</v>
      </c>
      <c r="O76" s="363">
        <f>AllocationTable[[#This Row],[CURRENT VALUE]]-AllocationTable[[#This Row],[AA]]</f>
        <v>0</v>
      </c>
      <c r="P76" s="364">
        <f>IFERROR(AllocationTable[[#This Row],[PROFIT]]/AllocationTable[[#This Row],[AA]],0)</f>
        <v>0</v>
      </c>
      <c r="Q76" s="380">
        <f>AllocationTable[[#This Row],[QNT]]*AllocationTable[[#This Row],[LTP]]</f>
        <v>0</v>
      </c>
      <c r="R76" s="380">
        <v>30000</v>
      </c>
      <c r="S76" s="380"/>
      <c r="T76" s="366">
        <v>1.6</v>
      </c>
      <c r="U76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13138.958399999998</v>
      </c>
      <c r="V76" s="367">
        <f ca="1">AllocationTable[[#This Row],[AA]]/AllocationTable[[#Totals],[AA]]</f>
        <v>0</v>
      </c>
      <c r="W76" s="360">
        <f>AllocationTable[[#This Row],[QNT]]*AllocationTable[[#This Row],[AVG.]]</f>
        <v>0</v>
      </c>
      <c r="X76" s="359">
        <v>10</v>
      </c>
      <c r="Y76" s="359" t="s">
        <v>310</v>
      </c>
      <c r="Z76" s="359">
        <v>-12</v>
      </c>
      <c r="AA76" s="359">
        <v>-12</v>
      </c>
      <c r="AB76" s="359">
        <v>15</v>
      </c>
      <c r="AC76" s="359">
        <v>25</v>
      </c>
      <c r="AD76" s="359" t="s">
        <v>316</v>
      </c>
    </row>
    <row r="77" spans="1:30" x14ac:dyDescent="0.25">
      <c r="A77" s="378" t="s">
        <v>92</v>
      </c>
      <c r="B77" s="379" t="s">
        <v>202</v>
      </c>
      <c r="C77" s="379" t="s">
        <v>42</v>
      </c>
      <c r="D77" s="379" t="s">
        <v>302</v>
      </c>
      <c r="E77" s="359">
        <f>_xlfn.IFNA(VLOOKUP(AllocationTable[[#This Row],[TRADE]],LatestDump!A:H,2,FALSE),0) + (_xlfn.IFNA(VLOOKUP(AllocationTable[[#This Row],[TRADE]],LongTerm!A:D,4,0),0))</f>
        <v>251</v>
      </c>
      <c r="F77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252.26294820717132</v>
      </c>
      <c r="G77" s="360">
        <f>_xlfn.IFNA(ROUND(VLOOKUP(AllocationTable[[#This Row],[TRADE]],LatestDump!A:H,4,FALSE),2),0)</f>
        <v>243.25</v>
      </c>
      <c r="H77" s="346">
        <v>340</v>
      </c>
      <c r="I77" s="361">
        <f>AllocationTable[[#This Row],[EA]]-AllocationTable[[#This Row],[AA]]</f>
        <v>-17331.645600000011</v>
      </c>
      <c r="J77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77" s="346">
        <v>1</v>
      </c>
      <c r="L77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306 ,Qnt: -9</v>
      </c>
      <c r="M77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272 ,Qnt: -21</v>
      </c>
      <c r="N77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238 ,Qnt: -39</v>
      </c>
      <c r="O77" s="363">
        <f>AllocationTable[[#This Row],[CURRENT VALUE]]-AllocationTable[[#This Row],[AA]]</f>
        <v>-2262.25</v>
      </c>
      <c r="P77" s="364">
        <f>IFERROR(AllocationTable[[#This Row],[PROFIT]]/AllocationTable[[#This Row],[AA]],0)</f>
        <v>-3.5728386872611262E-2</v>
      </c>
      <c r="Q77" s="380">
        <f>AllocationTable[[#This Row],[QNT]]*AllocationTable[[#This Row],[LTP]]</f>
        <v>61055.75</v>
      </c>
      <c r="R77" s="380">
        <v>37898.699999999997</v>
      </c>
      <c r="S77" s="380"/>
      <c r="T77" s="366">
        <v>2.4</v>
      </c>
      <c r="U77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45986.354399999989</v>
      </c>
      <c r="V77" s="367">
        <f ca="1">AllocationTable[[#This Row],[AA]]/AllocationTable[[#Totals],[AA]]</f>
        <v>7.3297510177530853E-3</v>
      </c>
      <c r="W77" s="360">
        <f>AllocationTable[[#This Row],[QNT]]*AllocationTable[[#This Row],[AVG.]]</f>
        <v>63318</v>
      </c>
      <c r="X77" s="359">
        <v>10</v>
      </c>
      <c r="Y77" s="359" t="s">
        <v>312</v>
      </c>
      <c r="Z77" s="359"/>
      <c r="AA77" s="359"/>
      <c r="AB77" s="359"/>
      <c r="AC77" s="359"/>
      <c r="AD77" s="359"/>
    </row>
    <row r="78" spans="1:30" x14ac:dyDescent="0.25">
      <c r="A78" s="378" t="s">
        <v>96</v>
      </c>
      <c r="B78" s="379" t="s">
        <v>202</v>
      </c>
      <c r="C78" s="379" t="s">
        <v>42</v>
      </c>
      <c r="D78" s="379" t="s">
        <v>304</v>
      </c>
      <c r="E78" s="359">
        <f>_xlfn.IFNA(VLOOKUP(AllocationTable[[#This Row],[TRADE]],LatestDump!A:H,2,FALSE),0) + (_xlfn.IFNA(VLOOKUP(AllocationTable[[#This Row],[TRADE]],LongTerm!A:D,4,0),0))</f>
        <v>0</v>
      </c>
      <c r="F78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78" s="360">
        <f>_xlfn.IFNA(ROUND(VLOOKUP(AllocationTable[[#This Row],[TRADE]],LatestDump!A:H,4,FALSE),2),0)</f>
        <v>0</v>
      </c>
      <c r="H78" s="346">
        <v>980</v>
      </c>
      <c r="I78" s="361">
        <f>AllocationTable[[#This Row],[EA]]-AllocationTable[[#This Row],[AA]]</f>
        <v>9854.2187999999969</v>
      </c>
      <c r="J78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78" s="346"/>
      <c r="L78" s="362" t="e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#DIV/0!</v>
      </c>
      <c r="M78" s="360" t="e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#DIV/0!</v>
      </c>
      <c r="N78" s="362" t="e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#DIV/0!</v>
      </c>
      <c r="O78" s="363">
        <f>AllocationTable[[#This Row],[CURRENT VALUE]]-AllocationTable[[#This Row],[AA]]</f>
        <v>0</v>
      </c>
      <c r="P78" s="364">
        <f>IFERROR(AllocationTable[[#This Row],[PROFIT]]/AllocationTable[[#This Row],[AA]],0)</f>
        <v>0</v>
      </c>
      <c r="Q78" s="380">
        <f>AllocationTable[[#This Row],[QNT]]*AllocationTable[[#This Row],[LTP]]</f>
        <v>0</v>
      </c>
      <c r="R78" s="380">
        <v>12386</v>
      </c>
      <c r="S78" s="380"/>
      <c r="T78" s="366">
        <v>1.2</v>
      </c>
      <c r="U78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9854.2187999999969</v>
      </c>
      <c r="V78" s="367">
        <f ca="1">AllocationTable[[#This Row],[AA]]/AllocationTable[[#Totals],[AA]]</f>
        <v>0</v>
      </c>
      <c r="W78" s="360">
        <f>AllocationTable[[#This Row],[QNT]]*AllocationTable[[#This Row],[AVG.]]</f>
        <v>0</v>
      </c>
      <c r="X78" s="359">
        <v>10</v>
      </c>
      <c r="Y78" s="359" t="s">
        <v>312</v>
      </c>
      <c r="Z78" s="359">
        <v>-10</v>
      </c>
      <c r="AA78" s="359">
        <v>-10</v>
      </c>
      <c r="AB78" s="359">
        <v>15</v>
      </c>
      <c r="AC78" s="359">
        <v>20</v>
      </c>
      <c r="AD78" s="359" t="s">
        <v>313</v>
      </c>
    </row>
    <row r="79" spans="1:30" x14ac:dyDescent="0.25">
      <c r="A79" s="378" t="s">
        <v>204</v>
      </c>
      <c r="B79" s="379" t="s">
        <v>202</v>
      </c>
      <c r="C79" s="379" t="s">
        <v>42</v>
      </c>
      <c r="D79" s="379" t="s">
        <v>302</v>
      </c>
      <c r="E79" s="359">
        <f>_xlfn.IFNA(VLOOKUP(AllocationTable[[#This Row],[TRADE]],LatestDump!A:H,2,FALSE),0) + (_xlfn.IFNA(VLOOKUP(AllocationTable[[#This Row],[TRADE]],LongTerm!A:D,4,0),0))</f>
        <v>91</v>
      </c>
      <c r="F79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722.49714285714276</v>
      </c>
      <c r="G79" s="360">
        <f>_xlfn.IFNA(ROUND(VLOOKUP(AllocationTable[[#This Row],[TRADE]],LatestDump!A:H,4,FALSE),2),0)</f>
        <v>2669.4</v>
      </c>
      <c r="H79" s="346">
        <v>2705</v>
      </c>
      <c r="I79" s="361">
        <f>AllocationTable[[#This Row],[EA]]-AllocationTable[[#This Row],[AA]]</f>
        <v>68379.627000000008</v>
      </c>
      <c r="J79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79" s="346">
        <v>1</v>
      </c>
      <c r="L79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2570 ,Qnt: 4</v>
      </c>
      <c r="M79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2435 ,Qnt: 8</v>
      </c>
      <c r="N79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2300 ,Qnt: 15</v>
      </c>
      <c r="O79" s="363">
        <f>AllocationTable[[#This Row],[CURRENT VALUE]]-AllocationTable[[#This Row],[AA]]</f>
        <v>177168.16</v>
      </c>
      <c r="P79" s="364">
        <f>IFERROR(AllocationTable[[#This Row],[PROFIT]]/AllocationTable[[#This Row],[AA]],0)</f>
        <v>2.6946858909970977</v>
      </c>
      <c r="Q79" s="380">
        <f>AllocationTable[[#This Row],[QNT]]*AllocationTable[[#This Row],[LTP]]</f>
        <v>242915.4</v>
      </c>
      <c r="R79" s="380">
        <v>55107.600000000006</v>
      </c>
      <c r="S79" s="380"/>
      <c r="T79" s="366">
        <v>7</v>
      </c>
      <c r="U79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134126.867</v>
      </c>
      <c r="V79" s="367">
        <f ca="1">AllocationTable[[#This Row],[AA]]/AllocationTable[[#Totals],[AA]]</f>
        <v>7.6109621166880869E-3</v>
      </c>
      <c r="W79" s="360">
        <f>AllocationTable[[#This Row],[QNT]]*AllocationTable[[#This Row],[AVG.]]</f>
        <v>65747.239999999991</v>
      </c>
      <c r="X79" s="359">
        <v>5</v>
      </c>
      <c r="Y79" s="359" t="s">
        <v>310</v>
      </c>
      <c r="Z79" s="359"/>
      <c r="AA79" s="359"/>
      <c r="AB79" s="359"/>
      <c r="AC79" s="359"/>
      <c r="AD79" s="359"/>
    </row>
    <row r="80" spans="1:30" x14ac:dyDescent="0.25">
      <c r="A80" s="378" t="s">
        <v>254</v>
      </c>
      <c r="B80" s="379" t="s">
        <v>202</v>
      </c>
      <c r="C80" s="379" t="s">
        <v>42</v>
      </c>
      <c r="D80" s="379" t="s">
        <v>302</v>
      </c>
      <c r="E80" s="359">
        <f>_xlfn.IFNA(VLOOKUP(AllocationTable[[#This Row],[TRADE]],LatestDump!A:H,2,FALSE),0) + (_xlfn.IFNA(VLOOKUP(AllocationTable[[#This Row],[TRADE]],LongTerm!A:D,4,0),0))</f>
        <v>20</v>
      </c>
      <c r="F80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885.62000000000012</v>
      </c>
      <c r="G80" s="360">
        <f>_xlfn.IFNA(ROUND(VLOOKUP(AllocationTable[[#This Row],[TRADE]],LatestDump!A:H,4,FALSE),2),0)</f>
        <v>925.85</v>
      </c>
      <c r="H80" s="346">
        <v>1425</v>
      </c>
      <c r="I80" s="361">
        <f>AllocationTable[[#This Row],[EA]]-AllocationTable[[#This Row],[AA]]</f>
        <v>34022.248699999982</v>
      </c>
      <c r="J80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80" s="346"/>
      <c r="L80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1283 ,Qnt: 6</v>
      </c>
      <c r="M80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1140 ,Qnt: 12</v>
      </c>
      <c r="N80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998 ,Qnt: 21</v>
      </c>
      <c r="O80" s="363">
        <f>AllocationTable[[#This Row],[CURRENT VALUE]]-AllocationTable[[#This Row],[AA]]</f>
        <v>804.59999999999854</v>
      </c>
      <c r="P80" s="364">
        <f>IFERROR(AllocationTable[[#This Row],[PROFIT]]/AllocationTable[[#This Row],[AA]],0)</f>
        <v>4.5425803391973898E-2</v>
      </c>
      <c r="Q80" s="380">
        <f>AllocationTable[[#This Row],[QNT]]*AllocationTable[[#This Row],[LTP]]</f>
        <v>18517</v>
      </c>
      <c r="R80" s="380">
        <v>5325</v>
      </c>
      <c r="S80" s="380"/>
      <c r="T80" s="366">
        <v>2.6999999999999997</v>
      </c>
      <c r="U80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51734.648699999983</v>
      </c>
      <c r="V80" s="367">
        <f ca="1">AllocationTable[[#This Row],[AA]]/AllocationTable[[#Totals],[AA]]</f>
        <v>2.0504040229768748E-3</v>
      </c>
      <c r="W80" s="360">
        <f>AllocationTable[[#This Row],[QNT]]*AllocationTable[[#This Row],[AVG.]]</f>
        <v>17712.400000000001</v>
      </c>
      <c r="X80" s="359">
        <v>10</v>
      </c>
      <c r="Y80" s="359" t="s">
        <v>310</v>
      </c>
      <c r="Z80" s="359"/>
      <c r="AA80" s="359"/>
      <c r="AB80" s="359"/>
      <c r="AC80" s="359"/>
      <c r="AD80" s="359"/>
    </row>
    <row r="81" spans="1:30" x14ac:dyDescent="0.25">
      <c r="A81" s="378" t="s">
        <v>106</v>
      </c>
      <c r="B81" s="379" t="s">
        <v>202</v>
      </c>
      <c r="C81" s="379" t="s">
        <v>42</v>
      </c>
      <c r="D81" s="379" t="s">
        <v>302</v>
      </c>
      <c r="E81" s="359">
        <f>_xlfn.IFNA(VLOOKUP(AllocationTable[[#This Row],[TRADE]],LatestDump!A:H,2,FALSE),0) + (_xlfn.IFNA(VLOOKUP(AllocationTable[[#This Row],[TRADE]],LongTerm!A:D,4,0),0))</f>
        <v>40</v>
      </c>
      <c r="F81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385.125</v>
      </c>
      <c r="G81" s="360">
        <f>_xlfn.IFNA(ROUND(VLOOKUP(AllocationTable[[#This Row],[TRADE]],LatestDump!A:H,4,FALSE),2),0)</f>
        <v>434.9</v>
      </c>
      <c r="H81" s="346">
        <v>445</v>
      </c>
      <c r="I81" s="361">
        <f>AllocationTable[[#This Row],[EA]]-AllocationTable[[#This Row],[AA]]</f>
        <v>30581.354399999989</v>
      </c>
      <c r="J81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81" s="346"/>
      <c r="L81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401 ,Qnt: 10</v>
      </c>
      <c r="M81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356 ,Qnt: 22</v>
      </c>
      <c r="N81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312 ,Qnt: 40</v>
      </c>
      <c r="O81" s="363">
        <f>AllocationTable[[#This Row],[CURRENT VALUE]]-AllocationTable[[#This Row],[AA]]</f>
        <v>1991</v>
      </c>
      <c r="P81" s="364">
        <f>IFERROR(AllocationTable[[#This Row],[PROFIT]]/AllocationTable[[#This Row],[AA]],0)</f>
        <v>0.12924375202856214</v>
      </c>
      <c r="Q81" s="380">
        <f>AllocationTable[[#This Row],[QNT]]*AllocationTable[[#This Row],[LTP]]</f>
        <v>17396</v>
      </c>
      <c r="R81" s="380">
        <v>15405</v>
      </c>
      <c r="S81" s="380"/>
      <c r="T81" s="366">
        <v>2.4</v>
      </c>
      <c r="U81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45986.354399999989</v>
      </c>
      <c r="V81" s="367">
        <f ca="1">AllocationTable[[#This Row],[AA]]/AllocationTable[[#Totals],[AA]]</f>
        <v>1.7832972366228605E-3</v>
      </c>
      <c r="W81" s="360">
        <f>AllocationTable[[#This Row],[QNT]]*AllocationTable[[#This Row],[AVG.]]</f>
        <v>15405</v>
      </c>
      <c r="X81" s="359">
        <v>10</v>
      </c>
      <c r="Y81" s="359" t="s">
        <v>314</v>
      </c>
      <c r="Z81" s="359"/>
      <c r="AA81" s="359"/>
      <c r="AB81" s="359"/>
      <c r="AC81" s="359"/>
      <c r="AD81" s="359"/>
    </row>
    <row r="82" spans="1:30" x14ac:dyDescent="0.25">
      <c r="A82" s="378" t="s">
        <v>107</v>
      </c>
      <c r="B82" s="379" t="s">
        <v>202</v>
      </c>
      <c r="C82" s="379" t="s">
        <v>42</v>
      </c>
      <c r="D82" s="379" t="s">
        <v>302</v>
      </c>
      <c r="E82" s="359">
        <f>_xlfn.IFNA(VLOOKUP(AllocationTable[[#This Row],[TRADE]],LatestDump!A:H,2,FALSE),0) + (_xlfn.IFNA(VLOOKUP(AllocationTable[[#This Row],[TRADE]],LongTerm!A:D,4,0),0))</f>
        <v>50</v>
      </c>
      <c r="F82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170.82</v>
      </c>
      <c r="G82" s="360">
        <f>_xlfn.IFNA(ROUND(VLOOKUP(AllocationTable[[#This Row],[TRADE]],LatestDump!A:H,4,FALSE),2),0)</f>
        <v>177.65</v>
      </c>
      <c r="H82" s="346">
        <v>285</v>
      </c>
      <c r="I82" s="361">
        <f>AllocationTable[[#This Row],[EA]]-AllocationTable[[#This Row],[AA]]</f>
        <v>37445.354399999989</v>
      </c>
      <c r="J82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82" s="346"/>
      <c r="L82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257 ,Qnt: 30</v>
      </c>
      <c r="M82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228 ,Qnt: 64</v>
      </c>
      <c r="N82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200 ,Qnt: 119</v>
      </c>
      <c r="O82" s="363">
        <f>AllocationTable[[#This Row],[CURRENT VALUE]]-AllocationTable[[#This Row],[AA]]</f>
        <v>341.5</v>
      </c>
      <c r="P82" s="364">
        <f>IFERROR(AllocationTable[[#This Row],[PROFIT]]/AllocationTable[[#This Row],[AA]],0)</f>
        <v>3.9983608476759164E-2</v>
      </c>
      <c r="Q82" s="380">
        <f>AllocationTable[[#This Row],[QNT]]*AllocationTable[[#This Row],[LTP]]</f>
        <v>8882.5</v>
      </c>
      <c r="R82" s="380">
        <v>7072.71</v>
      </c>
      <c r="S82" s="380"/>
      <c r="T82" s="366">
        <v>2.4</v>
      </c>
      <c r="U82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45986.354399999989</v>
      </c>
      <c r="V82" s="367">
        <f ca="1">AllocationTable[[#This Row],[AA]]/AllocationTable[[#Totals],[AA]]</f>
        <v>9.8871416410229482E-4</v>
      </c>
      <c r="W82" s="360">
        <f>AllocationTable[[#This Row],[QNT]]*AllocationTable[[#This Row],[AVG.]]</f>
        <v>8541</v>
      </c>
      <c r="X82" s="359">
        <v>10</v>
      </c>
      <c r="Y82" s="359" t="s">
        <v>312</v>
      </c>
      <c r="Z82" s="359"/>
      <c r="AA82" s="359"/>
      <c r="AB82" s="359"/>
      <c r="AC82" s="359"/>
      <c r="AD82" s="359"/>
    </row>
    <row r="83" spans="1:30" x14ac:dyDescent="0.25">
      <c r="A83" s="378" t="s">
        <v>110</v>
      </c>
      <c r="B83" s="379" t="s">
        <v>202</v>
      </c>
      <c r="C83" s="379" t="s">
        <v>42</v>
      </c>
      <c r="D83" s="379" t="s">
        <v>303</v>
      </c>
      <c r="E83" s="359">
        <f>_xlfn.IFNA(VLOOKUP(AllocationTable[[#This Row],[TRADE]],LatestDump!A:H,2,FALSE),0) + (_xlfn.IFNA(VLOOKUP(AllocationTable[[#This Row],[TRADE]],LongTerm!A:D,4,0),0))</f>
        <v>20</v>
      </c>
      <c r="F83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1106</v>
      </c>
      <c r="G83" s="360">
        <f>_xlfn.IFNA(ROUND(VLOOKUP(AllocationTable[[#This Row],[TRADE]],LatestDump!A:H,4,FALSE),2),0)</f>
        <v>1066.7</v>
      </c>
      <c r="H83" s="346">
        <v>1100</v>
      </c>
      <c r="I83" s="361">
        <f>AllocationTable[[#This Row],[EA]]-AllocationTable[[#This Row],[AA]]</f>
        <v>-22120</v>
      </c>
      <c r="J83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83" s="346"/>
      <c r="L83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83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83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83" s="363">
        <f>AllocationTable[[#This Row],[CURRENT VALUE]]-AllocationTable[[#This Row],[AA]]</f>
        <v>-786</v>
      </c>
      <c r="P83" s="364">
        <f>IFERROR(AllocationTable[[#This Row],[PROFIT]]/AllocationTable[[#This Row],[AA]],0)</f>
        <v>-3.5533453887884266E-2</v>
      </c>
      <c r="Q83" s="380">
        <f>AllocationTable[[#This Row],[QNT]]*AllocationTable[[#This Row],[LTP]]</f>
        <v>21334</v>
      </c>
      <c r="R83" s="380">
        <v>14217.2</v>
      </c>
      <c r="S83" s="380"/>
      <c r="T83" s="366">
        <v>0</v>
      </c>
      <c r="U83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83" s="367">
        <f ca="1">AllocationTable[[#This Row],[AA]]/AllocationTable[[#Totals],[AA]]</f>
        <v>2.5606319295097481E-3</v>
      </c>
      <c r="W83" s="360">
        <f>AllocationTable[[#This Row],[QNT]]*AllocationTable[[#This Row],[AVG.]]</f>
        <v>22120</v>
      </c>
      <c r="X83" s="359">
        <v>-1</v>
      </c>
      <c r="Y83" s="359" t="s">
        <v>317</v>
      </c>
      <c r="Z83" s="359">
        <v>0</v>
      </c>
      <c r="AA83" s="359">
        <v>0</v>
      </c>
      <c r="AB83" s="359">
        <v>0</v>
      </c>
      <c r="AC83" s="359">
        <v>0</v>
      </c>
      <c r="AD83" s="359">
        <v>0</v>
      </c>
    </row>
    <row r="84" spans="1:30" x14ac:dyDescent="0.25">
      <c r="A84" s="378" t="s">
        <v>112</v>
      </c>
      <c r="B84" s="379" t="s">
        <v>202</v>
      </c>
      <c r="C84" s="379" t="s">
        <v>42</v>
      </c>
      <c r="D84" s="379" t="s">
        <v>304</v>
      </c>
      <c r="E84" s="359">
        <f>_xlfn.IFNA(VLOOKUP(AllocationTable[[#This Row],[TRADE]],LatestDump!A:H,2,FALSE),0) + (_xlfn.IFNA(VLOOKUP(AllocationTable[[#This Row],[TRADE]],LongTerm!A:D,4,0),0))</f>
        <v>200</v>
      </c>
      <c r="F84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37.54</v>
      </c>
      <c r="G84" s="360">
        <f>_xlfn.IFNA(ROUND(VLOOKUP(AllocationTable[[#This Row],[TRADE]],LatestDump!A:H,4,FALSE),2),0)</f>
        <v>38.76</v>
      </c>
      <c r="H84" s="346">
        <v>46</v>
      </c>
      <c r="I84" s="361">
        <f>AllocationTable[[#This Row],[EA]]-AllocationTable[[#This Row],[AA]]</f>
        <v>-938.52080000000115</v>
      </c>
      <c r="J84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Partial Profit</v>
      </c>
      <c r="K84" s="346"/>
      <c r="L84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42 ,Qnt: -3</v>
      </c>
      <c r="M84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37 ,Qnt: -7</v>
      </c>
      <c r="N84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33 ,Qnt: -13</v>
      </c>
      <c r="O84" s="363">
        <f>AllocationTable[[#This Row],[CURRENT VALUE]]-AllocationTable[[#This Row],[AA]]</f>
        <v>244</v>
      </c>
      <c r="P84" s="364">
        <f>IFERROR(AllocationTable[[#This Row],[PROFIT]]/AllocationTable[[#This Row],[AA]],0)</f>
        <v>3.2498668087373471E-2</v>
      </c>
      <c r="Q84" s="380">
        <f>AllocationTable[[#This Row],[QNT]]*AllocationTable[[#This Row],[LTP]]</f>
        <v>7752</v>
      </c>
      <c r="R84" s="380">
        <v>22077.15</v>
      </c>
      <c r="S84" s="380"/>
      <c r="T84" s="366">
        <v>0.8</v>
      </c>
      <c r="U84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6569.4791999999989</v>
      </c>
      <c r="V84" s="367">
        <f ca="1">AllocationTable[[#This Row],[AA]]/AllocationTable[[#Totals],[AA]]</f>
        <v>8.6913311603793806E-4</v>
      </c>
      <c r="W84" s="360">
        <f>AllocationTable[[#This Row],[QNT]]*AllocationTable[[#This Row],[AVG.]]</f>
        <v>7508</v>
      </c>
      <c r="X84" s="359">
        <v>10</v>
      </c>
      <c r="Y84" s="359" t="s">
        <v>314</v>
      </c>
      <c r="Z84" s="359">
        <v>-8</v>
      </c>
      <c r="AA84" s="359">
        <v>-8</v>
      </c>
      <c r="AB84" s="359">
        <v>0</v>
      </c>
      <c r="AC84" s="359">
        <v>15</v>
      </c>
      <c r="AD84" s="359" t="s">
        <v>315</v>
      </c>
    </row>
    <row r="85" spans="1:30" ht="15" customHeight="1" x14ac:dyDescent="0.25">
      <c r="A85" s="378" t="s">
        <v>113</v>
      </c>
      <c r="B85" s="379" t="s">
        <v>202</v>
      </c>
      <c r="C85" s="379" t="s">
        <v>42</v>
      </c>
      <c r="D85" s="379" t="s">
        <v>304</v>
      </c>
      <c r="E85" s="359">
        <f>_xlfn.IFNA(VLOOKUP(AllocationTable[[#This Row],[TRADE]],LatestDump!A:H,2,FALSE),0) + (_xlfn.IFNA(VLOOKUP(AllocationTable[[#This Row],[TRADE]],LongTerm!A:D,4,0),0))</f>
        <v>60</v>
      </c>
      <c r="F85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326.88666666666666</v>
      </c>
      <c r="G85" s="360">
        <f>_xlfn.IFNA(ROUND(VLOOKUP(AllocationTable[[#This Row],[TRADE]],LatestDump!A:H,4,FALSE),2),0)</f>
        <v>326.64999999999998</v>
      </c>
      <c r="H85" s="346">
        <v>365</v>
      </c>
      <c r="I85" s="361">
        <f>AllocationTable[[#This Row],[EA]]-AllocationTable[[#This Row],[AA]]</f>
        <v>-9758.9812000000038</v>
      </c>
      <c r="J85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85" s="346"/>
      <c r="L85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329 ,Qnt: -4</v>
      </c>
      <c r="M85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292 ,Qnt: -8</v>
      </c>
      <c r="N85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256 ,Qnt: -16</v>
      </c>
      <c r="O85" s="363">
        <f>AllocationTable[[#This Row],[CURRENT VALUE]]-AllocationTable[[#This Row],[AA]]</f>
        <v>-14.200000000000728</v>
      </c>
      <c r="P85" s="364">
        <f>IFERROR(AllocationTable[[#This Row],[PROFIT]]/AllocationTable[[#This Row],[AA]],0)</f>
        <v>-7.2400220259828728E-4</v>
      </c>
      <c r="Q85" s="380">
        <f>AllocationTable[[#This Row],[QNT]]*AllocationTable[[#This Row],[LTP]]</f>
        <v>19599</v>
      </c>
      <c r="R85" s="380">
        <v>14996</v>
      </c>
      <c r="S85" s="380"/>
      <c r="T85" s="366">
        <v>1.2</v>
      </c>
      <c r="U85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9854.2187999999969</v>
      </c>
      <c r="V85" s="367">
        <f ca="1">AllocationTable[[#This Row],[AA]]/AllocationTable[[#Totals],[AA]]</f>
        <v>2.2704424122902619E-3</v>
      </c>
      <c r="W85" s="360">
        <f>AllocationTable[[#This Row],[QNT]]*AllocationTable[[#This Row],[AVG.]]</f>
        <v>19613.2</v>
      </c>
      <c r="X85" s="359">
        <v>10</v>
      </c>
      <c r="Y85" s="359" t="s">
        <v>312</v>
      </c>
      <c r="Z85" s="359">
        <v>-10</v>
      </c>
      <c r="AA85" s="359">
        <v>-10</v>
      </c>
      <c r="AB85" s="359">
        <v>15</v>
      </c>
      <c r="AC85" s="359">
        <v>20</v>
      </c>
      <c r="AD85" s="359" t="s">
        <v>313</v>
      </c>
    </row>
    <row r="86" spans="1:30" ht="15" customHeight="1" x14ac:dyDescent="0.25">
      <c r="A86" s="384" t="s">
        <v>91</v>
      </c>
      <c r="B86" s="385" t="s">
        <v>225</v>
      </c>
      <c r="C86" s="385" t="s">
        <v>42</v>
      </c>
      <c r="D86" s="385" t="s">
        <v>302</v>
      </c>
      <c r="E86" s="359">
        <f>_xlfn.IFNA(VLOOKUP(AllocationTable[[#This Row],[TRADE]],LatestDump!A:H,2,FALSE),0) + (_xlfn.IFNA(VLOOKUP(AllocationTable[[#This Row],[TRADE]],LongTerm!A:D,4,0),0))</f>
        <v>101</v>
      </c>
      <c r="F86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304.95049504950492</v>
      </c>
      <c r="G86" s="360">
        <f>_xlfn.IFNA(ROUND(VLOOKUP(AllocationTable[[#This Row],[TRADE]],LatestDump!A:H,4,FALSE),2),0)</f>
        <v>304.25</v>
      </c>
      <c r="H86" s="377">
        <v>470</v>
      </c>
      <c r="I86" s="361">
        <f>AllocationTable[[#This Row],[EA]]-AllocationTable[[#This Row],[AA]]</f>
        <v>9438.0600999999988</v>
      </c>
      <c r="J86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86" s="346">
        <v>334</v>
      </c>
      <c r="L86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423 ,Qnt: 5</v>
      </c>
      <c r="M86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376 ,Qnt: 10</v>
      </c>
      <c r="N86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329 ,Qnt: 18</v>
      </c>
      <c r="O86" s="363">
        <f>AllocationTable[[#This Row],[CURRENT VALUE]]-AllocationTable[[#This Row],[AA]]</f>
        <v>-70.749999999996362</v>
      </c>
      <c r="P86" s="364">
        <f>IFERROR(AllocationTable[[#This Row],[PROFIT]]/AllocationTable[[#This Row],[AA]],0)</f>
        <v>-2.2970779220778041E-3</v>
      </c>
      <c r="Q86" s="386">
        <f>AllocationTable[[#This Row],[QNT]]*AllocationTable[[#This Row],[LTP]]</f>
        <v>30729.25</v>
      </c>
      <c r="R86" s="386">
        <v>18104.07</v>
      </c>
      <c r="S86" s="386"/>
      <c r="T86" s="366">
        <v>2.1</v>
      </c>
      <c r="U86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40238.060099999995</v>
      </c>
      <c r="V86" s="367">
        <f ca="1">AllocationTable[[#This Row],[AA]]/AllocationTable[[#Totals],[AA]]</f>
        <v>3.5654368638743327E-3</v>
      </c>
      <c r="W86" s="360">
        <f>AllocationTable[[#This Row],[QNT]]*AllocationTable[[#This Row],[AVG.]]</f>
        <v>30799.999999999996</v>
      </c>
      <c r="X86" s="359">
        <v>10</v>
      </c>
      <c r="Y86" s="359" t="s">
        <v>314</v>
      </c>
      <c r="Z86" s="359"/>
      <c r="AA86" s="359"/>
      <c r="AB86" s="359"/>
      <c r="AC86" s="359"/>
      <c r="AD86" s="359"/>
    </row>
    <row r="87" spans="1:30" ht="15" customHeight="1" x14ac:dyDescent="0.25">
      <c r="A87" s="384" t="s">
        <v>105</v>
      </c>
      <c r="B87" s="385" t="s">
        <v>225</v>
      </c>
      <c r="C87" s="385" t="s">
        <v>42</v>
      </c>
      <c r="D87" s="385" t="s">
        <v>304</v>
      </c>
      <c r="E87" s="359">
        <f>_xlfn.IFNA(VLOOKUP(AllocationTable[[#This Row],[TRADE]],LatestDump!A:H,2,FALSE),0) + (_xlfn.IFNA(VLOOKUP(AllocationTable[[#This Row],[TRADE]],LongTerm!A:D,4,0),0))</f>
        <v>0</v>
      </c>
      <c r="F87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87" s="360">
        <f>_xlfn.IFNA(ROUND(VLOOKUP(AllocationTable[[#This Row],[TRADE]],LatestDump!A:H,4,FALSE),2),0)</f>
        <v>0</v>
      </c>
      <c r="H87" s="377">
        <v>670</v>
      </c>
      <c r="I87" s="361">
        <f>AllocationTable[[#This Row],[EA]]-AllocationTable[[#This Row],[AA]]</f>
        <v>9854.2187999999969</v>
      </c>
      <c r="J87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87" s="346"/>
      <c r="L87" s="362" t="e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#DIV/0!</v>
      </c>
      <c r="M87" s="360" t="e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#DIV/0!</v>
      </c>
      <c r="N87" s="362" t="e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#DIV/0!</v>
      </c>
      <c r="O87" s="363">
        <f>AllocationTable[[#This Row],[CURRENT VALUE]]-AllocationTable[[#This Row],[AA]]</f>
        <v>0</v>
      </c>
      <c r="P87" s="364">
        <f>IFERROR(AllocationTable[[#This Row],[PROFIT]]/AllocationTable[[#This Row],[AA]],0)</f>
        <v>0</v>
      </c>
      <c r="Q87" s="386">
        <f>AllocationTable[[#This Row],[QNT]]*AllocationTable[[#This Row],[LTP]]</f>
        <v>0</v>
      </c>
      <c r="R87" s="386">
        <v>0</v>
      </c>
      <c r="S87" s="386"/>
      <c r="T87" s="366">
        <v>1.2</v>
      </c>
      <c r="U87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9854.2187999999969</v>
      </c>
      <c r="V87" s="367">
        <f ca="1">AllocationTable[[#This Row],[AA]]/AllocationTable[[#Totals],[AA]]</f>
        <v>0</v>
      </c>
      <c r="W87" s="360">
        <f>AllocationTable[[#This Row],[QNT]]*AllocationTable[[#This Row],[AVG.]]</f>
        <v>0</v>
      </c>
      <c r="X87" s="359">
        <v>10</v>
      </c>
      <c r="Y87" s="359" t="s">
        <v>312</v>
      </c>
      <c r="Z87" s="359">
        <v>-10</v>
      </c>
      <c r="AA87" s="359">
        <v>-10</v>
      </c>
      <c r="AB87" s="359">
        <v>15</v>
      </c>
      <c r="AC87" s="359">
        <v>20</v>
      </c>
      <c r="AD87" s="359" t="s">
        <v>313</v>
      </c>
    </row>
    <row r="88" spans="1:30" ht="15" customHeight="1" x14ac:dyDescent="0.25">
      <c r="A88" s="384" t="s">
        <v>116</v>
      </c>
      <c r="B88" s="385" t="s">
        <v>225</v>
      </c>
      <c r="C88" s="385" t="s">
        <v>42</v>
      </c>
      <c r="D88" s="385" t="s">
        <v>302</v>
      </c>
      <c r="E88" s="359">
        <f>_xlfn.IFNA(VLOOKUP(AllocationTable[[#This Row],[TRADE]],LatestDump!A:H,2,FALSE),0) + (_xlfn.IFNA(VLOOKUP(AllocationTable[[#This Row],[TRADE]],LongTerm!A:D,4,0),0))</f>
        <v>0</v>
      </c>
      <c r="F88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88" s="360">
        <f>_xlfn.IFNA(ROUND(VLOOKUP(AllocationTable[[#This Row],[TRADE]],LatestDump!A:H,4,FALSE),2),0)</f>
        <v>0</v>
      </c>
      <c r="H88" s="377">
        <v>550</v>
      </c>
      <c r="I88" s="361">
        <f>AllocationTable[[#This Row],[EA]]-AllocationTable[[#This Row],[AA]]</f>
        <v>40238.060099999995</v>
      </c>
      <c r="J88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88" s="346"/>
      <c r="L88" s="362" t="e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#DIV/0!</v>
      </c>
      <c r="M88" s="360" t="e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#DIV/0!</v>
      </c>
      <c r="N88" s="362" t="e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#DIV/0!</v>
      </c>
      <c r="O88" s="363">
        <f>AllocationTable[[#This Row],[CURRENT VALUE]]-AllocationTable[[#This Row],[AA]]</f>
        <v>0</v>
      </c>
      <c r="P88" s="364">
        <f>IFERROR(AllocationTable[[#This Row],[PROFIT]]/AllocationTable[[#This Row],[AA]],0)</f>
        <v>0</v>
      </c>
      <c r="Q88" s="386">
        <f>AllocationTable[[#This Row],[QNT]]*AllocationTable[[#This Row],[LTP]]</f>
        <v>0</v>
      </c>
      <c r="R88" s="386">
        <v>11875</v>
      </c>
      <c r="S88" s="386"/>
      <c r="T88" s="366">
        <v>2.1</v>
      </c>
      <c r="U88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40238.060099999995</v>
      </c>
      <c r="V88" s="367">
        <f ca="1">AllocationTable[[#This Row],[AA]]/AllocationTable[[#Totals],[AA]]</f>
        <v>0</v>
      </c>
      <c r="W88" s="360">
        <f>AllocationTable[[#This Row],[QNT]]*AllocationTable[[#This Row],[AVG.]]</f>
        <v>0</v>
      </c>
      <c r="X88" s="359">
        <v>10</v>
      </c>
      <c r="Y88" s="359" t="s">
        <v>312</v>
      </c>
      <c r="Z88" s="359"/>
      <c r="AA88" s="359"/>
      <c r="AB88" s="359"/>
      <c r="AC88" s="359"/>
      <c r="AD88" s="359"/>
    </row>
    <row r="89" spans="1:30" ht="15" customHeight="1" x14ac:dyDescent="0.25">
      <c r="A89" s="384" t="s">
        <v>205</v>
      </c>
      <c r="B89" s="385" t="s">
        <v>225</v>
      </c>
      <c r="C89" s="385" t="s">
        <v>42</v>
      </c>
      <c r="D89" s="385" t="s">
        <v>304</v>
      </c>
      <c r="E89" s="359">
        <f>_xlfn.IFNA(VLOOKUP(AllocationTable[[#This Row],[TRADE]],LatestDump!A:H,2,FALSE),0) + (_xlfn.IFNA(VLOOKUP(AllocationTable[[#This Row],[TRADE]],LongTerm!A:D,4,0),0))</f>
        <v>30</v>
      </c>
      <c r="F89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445.2</v>
      </c>
      <c r="G89" s="360">
        <f>_xlfn.IFNA(ROUND(VLOOKUP(AllocationTable[[#This Row],[TRADE]],LatestDump!A:H,4,FALSE),2),0)</f>
        <v>432.6</v>
      </c>
      <c r="H89" s="377">
        <v>595</v>
      </c>
      <c r="I89" s="361">
        <f>AllocationTable[[#This Row],[EA]]-AllocationTable[[#This Row],[AA]]</f>
        <v>-3501.7812000000031</v>
      </c>
      <c r="J89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89" s="346"/>
      <c r="L89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536 ,Qnt: -1</v>
      </c>
      <c r="M89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476 ,Qnt: -2</v>
      </c>
      <c r="N89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417 ,Qnt: -4</v>
      </c>
      <c r="O89" s="363">
        <f>AllocationTable[[#This Row],[CURRENT VALUE]]-AllocationTable[[#This Row],[AA]]</f>
        <v>-378</v>
      </c>
      <c r="P89" s="364">
        <f>IFERROR(AllocationTable[[#This Row],[PROFIT]]/AllocationTable[[#This Row],[AA]],0)</f>
        <v>-2.8301886792452831E-2</v>
      </c>
      <c r="Q89" s="386">
        <f>AllocationTable[[#This Row],[QNT]]*AllocationTable[[#This Row],[LTP]]</f>
        <v>12978</v>
      </c>
      <c r="R89" s="386">
        <v>13356</v>
      </c>
      <c r="S89" s="386"/>
      <c r="T89" s="366">
        <v>1.2</v>
      </c>
      <c r="U89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9854.2187999999969</v>
      </c>
      <c r="V89" s="367">
        <f ca="1">AllocationTable[[#This Row],[AA]]/AllocationTable[[#Totals],[AA]]</f>
        <v>1.5461030764255062E-3</v>
      </c>
      <c r="W89" s="360">
        <f>AllocationTable[[#This Row],[QNT]]*AllocationTable[[#This Row],[AVG.]]</f>
        <v>13356</v>
      </c>
      <c r="X89" s="359">
        <v>10</v>
      </c>
      <c r="Y89" s="359" t="s">
        <v>312</v>
      </c>
      <c r="Z89" s="359">
        <v>-10</v>
      </c>
      <c r="AA89" s="359">
        <v>-10</v>
      </c>
      <c r="AB89" s="359">
        <v>15</v>
      </c>
      <c r="AC89" s="359">
        <v>20</v>
      </c>
      <c r="AD89" s="359" t="s">
        <v>313</v>
      </c>
    </row>
    <row r="90" spans="1:30" ht="15" customHeight="1" x14ac:dyDescent="0.25">
      <c r="A90" s="399" t="s">
        <v>73</v>
      </c>
      <c r="B90" s="399" t="s">
        <v>232</v>
      </c>
      <c r="C90" s="399" t="s">
        <v>42</v>
      </c>
      <c r="D90" s="399" t="s">
        <v>302</v>
      </c>
      <c r="E90" s="359">
        <f>_xlfn.IFNA(VLOOKUP(AllocationTable[[#This Row],[TRADE]],LatestDump!A:H,2,FALSE),0) + (_xlfn.IFNA(VLOOKUP(AllocationTable[[#This Row],[TRADE]],LongTerm!A:D,4,0),0))</f>
        <v>16</v>
      </c>
      <c r="F90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1194.0250000000001</v>
      </c>
      <c r="G90" s="360">
        <f>_xlfn.IFNA(ROUND(VLOOKUP(AllocationTable[[#This Row],[TRADE]],LatestDump!A:H,4,FALSE),2),0)</f>
        <v>1061.9000000000001</v>
      </c>
      <c r="H90" s="346">
        <v>2451</v>
      </c>
      <c r="I90" s="361">
        <f>AllocationTable[[#This Row],[EA]]-AllocationTable[[#This Row],[AA]]</f>
        <v>15385.365799999992</v>
      </c>
      <c r="J90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90" s="346"/>
      <c r="L90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2206 ,Qnt: 3</v>
      </c>
      <c r="M90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1961 ,Qnt: 5</v>
      </c>
      <c r="N90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1716 ,Qnt: 9</v>
      </c>
      <c r="O90" s="363">
        <f>AllocationTable[[#This Row],[CURRENT VALUE]]-AllocationTable[[#This Row],[AA]]</f>
        <v>-2114</v>
      </c>
      <c r="P90" s="364">
        <f>IFERROR(AllocationTable[[#This Row],[PROFIT]]/AllocationTable[[#This Row],[AA]],0)</f>
        <v>-0.1106551370364942</v>
      </c>
      <c r="Q90" s="400">
        <f>AllocationTable[[#This Row],[QNT]]*AllocationTable[[#This Row],[LTP]]</f>
        <v>16990.400000000001</v>
      </c>
      <c r="R90" s="400">
        <v>53637.599999999999</v>
      </c>
      <c r="S90" s="400"/>
      <c r="T90" s="366">
        <v>1.7999999999999998</v>
      </c>
      <c r="U90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34489.765799999994</v>
      </c>
      <c r="V90" s="367">
        <f ca="1">AllocationTable[[#This Row],[AA]]/AllocationTable[[#Totals],[AA]]</f>
        <v>2.2115432474740524E-3</v>
      </c>
      <c r="W90" s="360">
        <f>AllocationTable[[#This Row],[QNT]]*AllocationTable[[#This Row],[AVG.]]</f>
        <v>19104.400000000001</v>
      </c>
      <c r="X90" s="359">
        <v>10</v>
      </c>
      <c r="Y90" s="359" t="s">
        <v>314</v>
      </c>
      <c r="Z90" s="359"/>
      <c r="AA90" s="359"/>
      <c r="AB90" s="359"/>
      <c r="AC90" s="359"/>
      <c r="AD90" s="359"/>
    </row>
    <row r="91" spans="1:30" ht="15" customHeight="1" x14ac:dyDescent="0.25">
      <c r="A91" s="399" t="s">
        <v>76</v>
      </c>
      <c r="B91" s="399" t="s">
        <v>232</v>
      </c>
      <c r="C91" s="399" t="s">
        <v>42</v>
      </c>
      <c r="D91" s="399" t="s">
        <v>302</v>
      </c>
      <c r="E91" s="359">
        <f>_xlfn.IFNA(VLOOKUP(AllocationTable[[#This Row],[TRADE]],LatestDump!A:H,2,FALSE),0) + (_xlfn.IFNA(VLOOKUP(AllocationTable[[#This Row],[TRADE]],LongTerm!A:D,4,0),0))</f>
        <v>9</v>
      </c>
      <c r="F91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5521.9722222222226</v>
      </c>
      <c r="G91" s="360">
        <f>_xlfn.IFNA(ROUND(VLOOKUP(AllocationTable[[#This Row],[TRADE]],LatestDump!A:H,4,FALSE),2),0)</f>
        <v>6119.5</v>
      </c>
      <c r="H91" s="346">
        <v>7080</v>
      </c>
      <c r="I91" s="361">
        <f>AllocationTable[[#This Row],[EA]]-AllocationTable[[#This Row],[AA]]</f>
        <v>2036.8986999999834</v>
      </c>
      <c r="J91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91" s="346"/>
      <c r="L91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6372 ,Qnt: 1</v>
      </c>
      <c r="M91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5664 ,Qnt: 1</v>
      </c>
      <c r="N91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4956 ,Qnt: 1</v>
      </c>
      <c r="O91" s="363">
        <f>AllocationTable[[#This Row],[CURRENT VALUE]]-AllocationTable[[#This Row],[AA]]</f>
        <v>5377.75</v>
      </c>
      <c r="P91" s="364">
        <f>IFERROR(AllocationTable[[#This Row],[PROFIT]]/AllocationTable[[#This Row],[AA]],0)</f>
        <v>0.10820912415552011</v>
      </c>
      <c r="Q91" s="400">
        <f>AllocationTable[[#This Row],[QNT]]*AllocationTable[[#This Row],[LTP]]</f>
        <v>55075.5</v>
      </c>
      <c r="R91" s="400">
        <v>37334.25</v>
      </c>
      <c r="S91" s="400"/>
      <c r="T91" s="366">
        <v>2.6999999999999997</v>
      </c>
      <c r="U91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51734.648699999983</v>
      </c>
      <c r="V91" s="367">
        <f ca="1">AllocationTable[[#This Row],[AA]]/AllocationTable[[#Totals],[AA]]</f>
        <v>5.7530581136886567E-3</v>
      </c>
      <c r="W91" s="360">
        <f>AllocationTable[[#This Row],[QNT]]*AllocationTable[[#This Row],[AVG.]]</f>
        <v>49697.75</v>
      </c>
      <c r="X91" s="359">
        <v>10</v>
      </c>
      <c r="Y91" s="359" t="s">
        <v>310</v>
      </c>
      <c r="Z91" s="359"/>
      <c r="AA91" s="359"/>
      <c r="AB91" s="359"/>
      <c r="AC91" s="359"/>
      <c r="AD91" s="359"/>
    </row>
    <row r="92" spans="1:30" ht="15" customHeight="1" x14ac:dyDescent="0.25">
      <c r="A92" s="399" t="s">
        <v>100</v>
      </c>
      <c r="B92" s="399" t="s">
        <v>232</v>
      </c>
      <c r="C92" s="399" t="s">
        <v>42</v>
      </c>
      <c r="D92" s="399" t="s">
        <v>304</v>
      </c>
      <c r="E92" s="359">
        <f>_xlfn.IFNA(VLOOKUP(AllocationTable[[#This Row],[TRADE]],LatestDump!A:H,2,FALSE),0) + (_xlfn.IFNA(VLOOKUP(AllocationTable[[#This Row],[TRADE]],LongTerm!A:D,4,0),0))</f>
        <v>0</v>
      </c>
      <c r="F92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92" s="360">
        <f>_xlfn.IFNA(ROUND(VLOOKUP(AllocationTable[[#This Row],[TRADE]],LatestDump!A:H,4,FALSE),2),0)</f>
        <v>0</v>
      </c>
      <c r="H92" s="346">
        <v>2755</v>
      </c>
      <c r="I92" s="361">
        <f>AllocationTable[[#This Row],[EA]]-AllocationTable[[#This Row],[AA]]</f>
        <v>6569.4791999999989</v>
      </c>
      <c r="J92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92" s="346"/>
      <c r="L92" s="362" t="e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#DIV/0!</v>
      </c>
      <c r="M92" s="360" t="e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#DIV/0!</v>
      </c>
      <c r="N92" s="362" t="e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#DIV/0!</v>
      </c>
      <c r="O92" s="363">
        <f>AllocationTable[[#This Row],[CURRENT VALUE]]-AllocationTable[[#This Row],[AA]]</f>
        <v>0</v>
      </c>
      <c r="P92" s="364">
        <f>IFERROR(AllocationTable[[#This Row],[PROFIT]]/AllocationTable[[#This Row],[AA]],0)</f>
        <v>0</v>
      </c>
      <c r="Q92" s="400">
        <f>AllocationTable[[#This Row],[QNT]]*AllocationTable[[#This Row],[LTP]]</f>
        <v>0</v>
      </c>
      <c r="R92" s="400">
        <v>11775.4</v>
      </c>
      <c r="S92" s="400"/>
      <c r="T92" s="366">
        <v>0.8</v>
      </c>
      <c r="U92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6569.4791999999989</v>
      </c>
      <c r="V92" s="367">
        <f ca="1">AllocationTable[[#This Row],[AA]]/AllocationTable[[#Totals],[AA]]</f>
        <v>0</v>
      </c>
      <c r="W92" s="360">
        <f>AllocationTable[[#This Row],[QNT]]*AllocationTable[[#This Row],[AVG.]]</f>
        <v>0</v>
      </c>
      <c r="X92" s="359">
        <v>10</v>
      </c>
      <c r="Y92" s="359" t="s">
        <v>314</v>
      </c>
      <c r="Z92" s="359">
        <v>-8</v>
      </c>
      <c r="AA92" s="359">
        <v>-8</v>
      </c>
      <c r="AB92" s="359">
        <v>0</v>
      </c>
      <c r="AC92" s="359">
        <v>15</v>
      </c>
      <c r="AD92" s="359" t="s">
        <v>315</v>
      </c>
    </row>
    <row r="93" spans="1:30" ht="15" customHeight="1" x14ac:dyDescent="0.25">
      <c r="A93" s="399" t="s">
        <v>115</v>
      </c>
      <c r="B93" s="399" t="s">
        <v>232</v>
      </c>
      <c r="C93" s="399" t="s">
        <v>42</v>
      </c>
      <c r="D93" s="399" t="s">
        <v>304</v>
      </c>
      <c r="E93" s="359">
        <f>_xlfn.IFNA(VLOOKUP(AllocationTable[[#This Row],[TRADE]],LatestDump!A:H,2,FALSE),0) + (_xlfn.IFNA(VLOOKUP(AllocationTable[[#This Row],[TRADE]],LongTerm!A:D,4,0),0))</f>
        <v>175</v>
      </c>
      <c r="F93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370.46685714285712</v>
      </c>
      <c r="G93" s="360">
        <f>_xlfn.IFNA(ROUND(VLOOKUP(AllocationTable[[#This Row],[TRADE]],LatestDump!A:H,4,FALSE),2),0)</f>
        <v>399</v>
      </c>
      <c r="H93" s="346">
        <v>540</v>
      </c>
      <c r="I93" s="361">
        <f>AllocationTable[[#This Row],[EA]]-AllocationTable[[#This Row],[AA]]</f>
        <v>-58262.220799999996</v>
      </c>
      <c r="J93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Partial Profit</v>
      </c>
      <c r="K93" s="346"/>
      <c r="L93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486 ,Qnt: -20</v>
      </c>
      <c r="M93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432 ,Qnt: -43</v>
      </c>
      <c r="N93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378 ,Qnt: -81</v>
      </c>
      <c r="O93" s="363">
        <f>AllocationTable[[#This Row],[CURRENT VALUE]]-AllocationTable[[#This Row],[AA]]</f>
        <v>4993.3000000000029</v>
      </c>
      <c r="P93" s="364">
        <f>IFERROR(AllocationTable[[#This Row],[PROFIT]]/AllocationTable[[#This Row],[AA]],0)</f>
        <v>7.7019421054823539E-2</v>
      </c>
      <c r="Q93" s="400">
        <f>AllocationTable[[#This Row],[QNT]]*AllocationTable[[#This Row],[LTP]]</f>
        <v>69825</v>
      </c>
      <c r="R93" s="400">
        <v>36631.699999999997</v>
      </c>
      <c r="S93" s="400"/>
      <c r="T93" s="366">
        <v>0.8</v>
      </c>
      <c r="U93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6569.4791999999989</v>
      </c>
      <c r="V93" s="367">
        <f ca="1">AllocationTable[[#This Row],[AA]]/AllocationTable[[#Totals],[AA]]</f>
        <v>7.5049783483000518E-3</v>
      </c>
      <c r="W93" s="360">
        <f>AllocationTable[[#This Row],[QNT]]*AllocationTable[[#This Row],[AVG.]]</f>
        <v>64831.7</v>
      </c>
      <c r="X93" s="359">
        <v>10</v>
      </c>
      <c r="Y93" s="359" t="s">
        <v>314</v>
      </c>
      <c r="Z93" s="359">
        <v>-8</v>
      </c>
      <c r="AA93" s="359">
        <v>-8</v>
      </c>
      <c r="AB93" s="359">
        <v>0</v>
      </c>
      <c r="AC93" s="359">
        <v>15</v>
      </c>
      <c r="AD93" s="359" t="s">
        <v>315</v>
      </c>
    </row>
    <row r="94" spans="1:30" ht="15" customHeight="1" x14ac:dyDescent="0.25">
      <c r="A94" s="390" t="s">
        <v>78</v>
      </c>
      <c r="B94" s="391" t="s">
        <v>234</v>
      </c>
      <c r="C94" s="391" t="s">
        <v>42</v>
      </c>
      <c r="D94" s="391" t="s">
        <v>302</v>
      </c>
      <c r="E94" s="359">
        <f>_xlfn.IFNA(VLOOKUP(AllocationTable[[#This Row],[TRADE]],LatestDump!A:H,2,FALSE),0) + (_xlfn.IFNA(VLOOKUP(AllocationTable[[#This Row],[TRADE]],LongTerm!A:D,4,0),0))</f>
        <v>401</v>
      </c>
      <c r="F94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135.73067331670822</v>
      </c>
      <c r="G94" s="360">
        <f>_xlfn.IFNA(ROUND(VLOOKUP(AllocationTable[[#This Row],[TRADE]],LatestDump!A:H,4,FALSE),2),0)</f>
        <v>240</v>
      </c>
      <c r="H94" s="346">
        <v>370</v>
      </c>
      <c r="I94" s="361">
        <f>AllocationTable[[#This Row],[EA]]-AllocationTable[[#This Row],[AA]]</f>
        <v>-14189.939899999998</v>
      </c>
      <c r="J94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94" s="346"/>
      <c r="L94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333 ,Qnt: -8</v>
      </c>
      <c r="M94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296 ,Qnt: -17</v>
      </c>
      <c r="N94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259 ,Qnt: -33</v>
      </c>
      <c r="O94" s="363">
        <f>AllocationTable[[#This Row],[CURRENT VALUE]]-AllocationTable[[#This Row],[AA]]</f>
        <v>41812.000000000007</v>
      </c>
      <c r="P94" s="364">
        <f>IFERROR(AllocationTable[[#This Row],[PROFIT]]/AllocationTable[[#This Row],[AA]],0)</f>
        <v>0.76820754023664317</v>
      </c>
      <c r="Q94" s="392">
        <f>AllocationTable[[#This Row],[QNT]]*AllocationTable[[#This Row],[LTP]]</f>
        <v>96240</v>
      </c>
      <c r="R94" s="392">
        <v>63281</v>
      </c>
      <c r="S94" s="392"/>
      <c r="T94" s="366">
        <v>2.1</v>
      </c>
      <c r="U94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40238.060099999995</v>
      </c>
      <c r="V94" s="367">
        <f ca="1">AllocationTable[[#This Row],[AA]]/AllocationTable[[#Totals],[AA]]</f>
        <v>6.3006362865893565E-3</v>
      </c>
      <c r="W94" s="360">
        <f>AllocationTable[[#This Row],[QNT]]*AllocationTable[[#This Row],[AVG.]]</f>
        <v>54427.999999999993</v>
      </c>
      <c r="X94" s="359">
        <v>10</v>
      </c>
      <c r="Y94" s="359" t="s">
        <v>312</v>
      </c>
      <c r="Z94" s="359"/>
      <c r="AA94" s="359"/>
      <c r="AB94" s="359"/>
      <c r="AC94" s="359"/>
      <c r="AD94" s="359"/>
    </row>
    <row r="95" spans="1:30" ht="15" customHeight="1" x14ac:dyDescent="0.25">
      <c r="A95" s="390" t="s">
        <v>59</v>
      </c>
      <c r="B95" s="391" t="s">
        <v>233</v>
      </c>
      <c r="C95" s="391" t="s">
        <v>42</v>
      </c>
      <c r="D95" s="391" t="s">
        <v>304</v>
      </c>
      <c r="E95" s="359">
        <f>_xlfn.IFNA(VLOOKUP(AllocationTable[[#This Row],[TRADE]],LatestDump!A:H,2,FALSE),0) + (_xlfn.IFNA(VLOOKUP(AllocationTable[[#This Row],[TRADE]],LongTerm!A:D,4,0),0))</f>
        <v>100</v>
      </c>
      <c r="F95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185.9</v>
      </c>
      <c r="G95" s="360">
        <f>_xlfn.IFNA(ROUND(VLOOKUP(AllocationTable[[#This Row],[TRADE]],LatestDump!A:H,4,FALSE),2),0)</f>
        <v>190.1</v>
      </c>
      <c r="H95" s="346">
        <v>302</v>
      </c>
      <c r="I95" s="361">
        <f>AllocationTable[[#This Row],[EA]]-AllocationTable[[#This Row],[AA]]</f>
        <v>-8735.7812000000031</v>
      </c>
      <c r="J95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95" s="346"/>
      <c r="L95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272 ,Qnt: -6</v>
      </c>
      <c r="M95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242 ,Qnt: -13</v>
      </c>
      <c r="N95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212 ,Qnt: -25</v>
      </c>
      <c r="O95" s="363">
        <f>AllocationTable[[#This Row],[CURRENT VALUE]]-AllocationTable[[#This Row],[AA]]</f>
        <v>420</v>
      </c>
      <c r="P95" s="364">
        <f>IFERROR(AllocationTable[[#This Row],[PROFIT]]/AllocationTable[[#This Row],[AA]],0)</f>
        <v>2.2592791823561054E-2</v>
      </c>
      <c r="Q95" s="392">
        <f>AllocationTable[[#This Row],[QNT]]*AllocationTable[[#This Row],[LTP]]</f>
        <v>19010</v>
      </c>
      <c r="R95" s="392">
        <v>15116.1</v>
      </c>
      <c r="S95" s="392"/>
      <c r="T95" s="366">
        <v>1.2</v>
      </c>
      <c r="U95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9854.2187999999969</v>
      </c>
      <c r="V95" s="367">
        <f ca="1">AllocationTable[[#This Row],[AA]]/AllocationTable[[#Totals],[AA]]</f>
        <v>2.1519958214098653E-3</v>
      </c>
      <c r="W95" s="360">
        <f>AllocationTable[[#This Row],[QNT]]*AllocationTable[[#This Row],[AVG.]]</f>
        <v>18590</v>
      </c>
      <c r="X95" s="359">
        <v>10</v>
      </c>
      <c r="Y95" s="359" t="s">
        <v>312</v>
      </c>
      <c r="Z95" s="359">
        <v>-10</v>
      </c>
      <c r="AA95" s="359">
        <v>-10</v>
      </c>
      <c r="AB95" s="359">
        <v>15</v>
      </c>
      <c r="AC95" s="359">
        <v>20</v>
      </c>
      <c r="AD95" s="359" t="s">
        <v>313</v>
      </c>
    </row>
    <row r="96" spans="1:30" ht="15" customHeight="1" x14ac:dyDescent="0.25">
      <c r="A96" s="390" t="s">
        <v>328</v>
      </c>
      <c r="B96" s="391" t="s">
        <v>222</v>
      </c>
      <c r="C96" s="391" t="s">
        <v>42</v>
      </c>
      <c r="D96" s="370" t="s">
        <v>304</v>
      </c>
      <c r="E96" s="359">
        <f>_xlfn.IFNA(VLOOKUP(AllocationTable[[#This Row],[TRADE]],LatestDump!A:H,2,FALSE),0) + (_xlfn.IFNA(VLOOKUP(AllocationTable[[#This Row],[TRADE]],LongTerm!A:D,4,0),0))</f>
        <v>50</v>
      </c>
      <c r="F96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539.75</v>
      </c>
      <c r="G96" s="360">
        <f>_xlfn.IFNA(ROUND(VLOOKUP(AllocationTable[[#This Row],[TRADE]],LatestDump!A:H,4,FALSE),2),0)</f>
        <v>530.04999999999995</v>
      </c>
      <c r="H96" s="346">
        <v>760</v>
      </c>
      <c r="I96" s="361">
        <f>AllocationTable[[#This Row],[EA]]-AllocationTable[[#This Row],[AA]]</f>
        <v>-10563.802000000003</v>
      </c>
      <c r="J96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Loss</v>
      </c>
      <c r="K96" s="346"/>
      <c r="L96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SIP</v>
      </c>
      <c r="M96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SIP</v>
      </c>
      <c r="N96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SIP</v>
      </c>
      <c r="O96" s="363">
        <f>AllocationTable[[#This Row],[CURRENT VALUE]]-AllocationTable[[#This Row],[AA]]</f>
        <v>-485.00000000000364</v>
      </c>
      <c r="P96" s="364">
        <f>IFERROR(AllocationTable[[#This Row],[PROFIT]]/AllocationTable[[#This Row],[AA]],0)</f>
        <v>-1.7971283001389667E-2</v>
      </c>
      <c r="Q96" s="392">
        <f>AllocationTable[[#This Row],[QNT]]*AllocationTable[[#This Row],[LTP]]</f>
        <v>26502.499999999996</v>
      </c>
      <c r="R96" s="372"/>
      <c r="S96" s="372"/>
      <c r="T96" s="366">
        <v>2</v>
      </c>
      <c r="U96" s="361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16423.697999999997</v>
      </c>
      <c r="V96" s="367">
        <f ca="1">AllocationTable[[#This Row],[AA]]/AllocationTable[[#Totals],[AA]]</f>
        <v>3.1240982910327457E-3</v>
      </c>
      <c r="W96" s="360">
        <f>AllocationTable[[#This Row],[QNT]]*AllocationTable[[#This Row],[AVG.]]</f>
        <v>26987.5</v>
      </c>
      <c r="X96" s="359"/>
      <c r="Y96" s="359"/>
      <c r="Z96" s="359"/>
      <c r="AA96" s="359"/>
      <c r="AB96" s="359"/>
      <c r="AC96" s="359"/>
      <c r="AD96" s="359"/>
    </row>
    <row r="97" spans="1:30" ht="15" customHeight="1" x14ac:dyDescent="0.25">
      <c r="A97" s="390" t="s">
        <v>329</v>
      </c>
      <c r="B97" s="391" t="s">
        <v>222</v>
      </c>
      <c r="C97" s="391" t="s">
        <v>42</v>
      </c>
      <c r="D97" s="370" t="s">
        <v>304</v>
      </c>
      <c r="E97" s="359">
        <f>_xlfn.IFNA(VLOOKUP(AllocationTable[[#This Row],[TRADE]],LatestDump!A:H,2,FALSE),0) + (_xlfn.IFNA(VLOOKUP(AllocationTable[[#This Row],[TRADE]],LongTerm!A:D,4,0),0))</f>
        <v>40</v>
      </c>
      <c r="F97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564.61374999999998</v>
      </c>
      <c r="G97" s="360">
        <f>_xlfn.IFNA(ROUND(VLOOKUP(AllocationTable[[#This Row],[TRADE]],LatestDump!A:H,4,FALSE),2),0)</f>
        <v>564.6</v>
      </c>
      <c r="H97" s="346">
        <v>733</v>
      </c>
      <c r="I97" s="361">
        <f>AllocationTable[[#This Row],[EA]]-AllocationTable[[#This Row],[AA]]</f>
        <v>-6160.8520000000026</v>
      </c>
      <c r="J97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Loss</v>
      </c>
      <c r="K97" s="346"/>
      <c r="L97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SIP</v>
      </c>
      <c r="M97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SIP</v>
      </c>
      <c r="N97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SIP</v>
      </c>
      <c r="O97" s="363">
        <f>AllocationTable[[#This Row],[CURRENT VALUE]]-AllocationTable[[#This Row],[AA]]</f>
        <v>-0.5499999999992724</v>
      </c>
      <c r="P97" s="364">
        <f>IFERROR(AllocationTable[[#This Row],[PROFIT]]/AllocationTable[[#This Row],[AA]],0)</f>
        <v>-2.4352931539449423E-5</v>
      </c>
      <c r="Q97" s="392">
        <f>AllocationTable[[#This Row],[QNT]]*AllocationTable[[#This Row],[LTP]]</f>
        <v>22584</v>
      </c>
      <c r="R97" s="372"/>
      <c r="S97" s="372"/>
      <c r="T97" s="366">
        <v>2</v>
      </c>
      <c r="U97" s="361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16423.697999999997</v>
      </c>
      <c r="V97" s="367">
        <f ca="1">AllocationTable[[#This Row],[AA]]/AllocationTable[[#Totals],[AA]]</f>
        <v>2.6144086728575669E-3</v>
      </c>
      <c r="W97" s="360">
        <f>AllocationTable[[#This Row],[QNT]]*AllocationTable[[#This Row],[AVG.]]</f>
        <v>22584.55</v>
      </c>
      <c r="X97" s="359"/>
      <c r="Y97" s="359"/>
      <c r="Z97" s="359"/>
      <c r="AA97" s="359"/>
      <c r="AB97" s="359"/>
      <c r="AC97" s="359"/>
      <c r="AD97" s="359"/>
    </row>
    <row r="98" spans="1:30" ht="15" customHeight="1" x14ac:dyDescent="0.25">
      <c r="A98" s="390" t="s">
        <v>207</v>
      </c>
      <c r="B98" s="391" t="s">
        <v>222</v>
      </c>
      <c r="C98" s="391" t="s">
        <v>42</v>
      </c>
      <c r="D98" s="391" t="s">
        <v>304</v>
      </c>
      <c r="E98" s="359">
        <f>_xlfn.IFNA(VLOOKUP(AllocationTable[[#This Row],[TRADE]],LatestDump!A:H,2,FALSE),0) + (_xlfn.IFNA(VLOOKUP(AllocationTable[[#This Row],[TRADE]],LongTerm!A:D,4,0),0))</f>
        <v>450</v>
      </c>
      <c r="F98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42.773333333333333</v>
      </c>
      <c r="G98" s="360">
        <f>_xlfn.IFNA(ROUND(VLOOKUP(AllocationTable[[#This Row],[TRADE]],LatestDump!A:H,4,FALSE),2),0)</f>
        <v>39.33</v>
      </c>
      <c r="H98" s="346">
        <v>54</v>
      </c>
      <c r="I98" s="361">
        <f>AllocationTable[[#This Row],[EA]]-AllocationTable[[#This Row],[AA]]</f>
        <v>-12678.520800000002</v>
      </c>
      <c r="J98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Loss</v>
      </c>
      <c r="K98" s="346"/>
      <c r="L98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49 ,Qnt: -45</v>
      </c>
      <c r="M98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44 ,Qnt: -96</v>
      </c>
      <c r="N98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38 ,Qnt: -180</v>
      </c>
      <c r="O98" s="363">
        <f>AllocationTable[[#This Row],[CURRENT VALUE]]-AllocationTable[[#This Row],[AA]]</f>
        <v>-1549.5</v>
      </c>
      <c r="P98" s="364">
        <f>IFERROR(AllocationTable[[#This Row],[PROFIT]]/AllocationTable[[#This Row],[AA]],0)</f>
        <v>-8.0501870324189526E-2</v>
      </c>
      <c r="Q98" s="392">
        <f>AllocationTable[[#This Row],[QNT]]*AllocationTable[[#This Row],[LTP]]</f>
        <v>17698.5</v>
      </c>
      <c r="R98" s="392">
        <v>6651.0000000000009</v>
      </c>
      <c r="S98" s="392"/>
      <c r="T98" s="366">
        <v>0.8</v>
      </c>
      <c r="U98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6569.4791999999989</v>
      </c>
      <c r="V98" s="367">
        <f ca="1">AllocationTable[[#This Row],[AA]]/AllocationTable[[#Totals],[AA]]</f>
        <v>2.2281665180471804E-3</v>
      </c>
      <c r="W98" s="360">
        <f>AllocationTable[[#This Row],[QNT]]*AllocationTable[[#This Row],[AVG.]]</f>
        <v>19248</v>
      </c>
      <c r="X98" s="359">
        <v>10</v>
      </c>
      <c r="Y98" s="359" t="s">
        <v>314</v>
      </c>
      <c r="Z98" s="359">
        <v>-8</v>
      </c>
      <c r="AA98" s="359">
        <v>-8</v>
      </c>
      <c r="AB98" s="359">
        <v>0</v>
      </c>
      <c r="AC98" s="359">
        <v>15</v>
      </c>
      <c r="AD98" s="359" t="s">
        <v>315</v>
      </c>
    </row>
    <row r="99" spans="1:30" ht="15" customHeight="1" x14ac:dyDescent="0.25">
      <c r="A99" s="390" t="s">
        <v>209</v>
      </c>
      <c r="B99" s="391" t="s">
        <v>222</v>
      </c>
      <c r="C99" s="391" t="s">
        <v>42</v>
      </c>
      <c r="D99" s="391" t="s">
        <v>302</v>
      </c>
      <c r="E99" s="359">
        <f>_xlfn.IFNA(VLOOKUP(AllocationTable[[#This Row],[TRADE]],LatestDump!A:H,2,FALSE),0) + (_xlfn.IFNA(VLOOKUP(AllocationTable[[#This Row],[TRADE]],LongTerm!A:D,4,0),0))</f>
        <v>201</v>
      </c>
      <c r="F99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348.33656716417909</v>
      </c>
      <c r="G99" s="360">
        <f>_xlfn.IFNA(ROUND(VLOOKUP(AllocationTable[[#This Row],[TRADE]],LatestDump!A:H,4,FALSE),2),0)</f>
        <v>745.15</v>
      </c>
      <c r="H99" s="346">
        <v>770</v>
      </c>
      <c r="I99" s="361">
        <f>AllocationTable[[#This Row],[EA]]-AllocationTable[[#This Row],[AA]]</f>
        <v>-29777.589899999999</v>
      </c>
      <c r="J99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99" s="346"/>
      <c r="L99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693 ,Qnt: -5</v>
      </c>
      <c r="M99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616 ,Qnt: -11</v>
      </c>
      <c r="N99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539 ,Qnt: -22</v>
      </c>
      <c r="O99" s="363">
        <f>AllocationTable[[#This Row],[CURRENT VALUE]]-AllocationTable[[#This Row],[AA]]</f>
        <v>79759.5</v>
      </c>
      <c r="P99" s="364">
        <f>IFERROR(AllocationTable[[#This Row],[PROFIT]]/AllocationTable[[#This Row],[AA]],0)</f>
        <v>1.1391667434352177</v>
      </c>
      <c r="Q99" s="392">
        <f>AllocationTable[[#This Row],[QNT]]*AllocationTable[[#This Row],[LTP]]</f>
        <v>149775.15</v>
      </c>
      <c r="R99" s="392">
        <v>69924.75</v>
      </c>
      <c r="S99" s="392"/>
      <c r="T99" s="366">
        <v>2.1</v>
      </c>
      <c r="U99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40238.060099999995</v>
      </c>
      <c r="V99" s="367">
        <f ca="1">AllocationTable[[#This Row],[AA]]/AllocationTable[[#Totals],[AA]]</f>
        <v>8.1050772583806142E-3</v>
      </c>
      <c r="W99" s="360">
        <f>AllocationTable[[#This Row],[QNT]]*AllocationTable[[#This Row],[AVG.]]</f>
        <v>70015.649999999994</v>
      </c>
      <c r="X99" s="359">
        <v>10</v>
      </c>
      <c r="Y99" s="359" t="s">
        <v>314</v>
      </c>
      <c r="Z99" s="359"/>
      <c r="AA99" s="359"/>
      <c r="AB99" s="359"/>
      <c r="AC99" s="359"/>
      <c r="AD99" s="359"/>
    </row>
    <row r="100" spans="1:30" ht="15" customHeight="1" x14ac:dyDescent="0.25">
      <c r="A100" s="384" t="s">
        <v>58</v>
      </c>
      <c r="B100" s="385" t="s">
        <v>228</v>
      </c>
      <c r="C100" s="385" t="s">
        <v>42</v>
      </c>
      <c r="D100" s="385" t="s">
        <v>304</v>
      </c>
      <c r="E100" s="359">
        <f>_xlfn.IFNA(VLOOKUP(AllocationTable[[#This Row],[TRADE]],LatestDump!A:H,2,FALSE),0) + (_xlfn.IFNA(VLOOKUP(AllocationTable[[#This Row],[TRADE]],LongTerm!A:D,4,0),0))</f>
        <v>0</v>
      </c>
      <c r="F100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100" s="360">
        <f>_xlfn.IFNA(ROUND(VLOOKUP(AllocationTable[[#This Row],[TRADE]],LatestDump!A:H,4,FALSE),2),0)</f>
        <v>0</v>
      </c>
      <c r="H100" s="377">
        <v>106</v>
      </c>
      <c r="I100" s="361">
        <f>AllocationTable[[#This Row],[EA]]-AllocationTable[[#This Row],[AA]]</f>
        <v>6569.4791999999989</v>
      </c>
      <c r="J100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100" s="346"/>
      <c r="L100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100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100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100" s="363">
        <f>AllocationTable[[#This Row],[CURRENT VALUE]]-AllocationTable[[#This Row],[AA]]</f>
        <v>0</v>
      </c>
      <c r="P100" s="364">
        <f>IFERROR(AllocationTable[[#This Row],[PROFIT]]/AllocationTable[[#This Row],[AA]],0)</f>
        <v>0</v>
      </c>
      <c r="Q100" s="386">
        <f>AllocationTable[[#This Row],[QNT]]*AllocationTable[[#This Row],[LTP]]</f>
        <v>0</v>
      </c>
      <c r="R100" s="386">
        <v>16141.999999999998</v>
      </c>
      <c r="S100" s="386"/>
      <c r="T100" s="366">
        <v>0.8</v>
      </c>
      <c r="U100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6569.4791999999989</v>
      </c>
      <c r="V100" s="367">
        <f ca="1">AllocationTable[[#This Row],[AA]]/AllocationTable[[#Totals],[AA]]</f>
        <v>0</v>
      </c>
      <c r="W100" s="360">
        <f>AllocationTable[[#This Row],[QNT]]*AllocationTable[[#This Row],[AVG.]]</f>
        <v>0</v>
      </c>
      <c r="X100" s="359">
        <v>-1</v>
      </c>
      <c r="Y100" s="359" t="s">
        <v>314</v>
      </c>
      <c r="Z100" s="359">
        <v>-8</v>
      </c>
      <c r="AA100" s="359">
        <v>-8</v>
      </c>
      <c r="AB100" s="359">
        <v>0</v>
      </c>
      <c r="AC100" s="359">
        <v>15</v>
      </c>
      <c r="AD100" s="359" t="s">
        <v>315</v>
      </c>
    </row>
    <row r="101" spans="1:30" ht="15" customHeight="1" x14ac:dyDescent="0.25">
      <c r="A101" s="384" t="s">
        <v>117</v>
      </c>
      <c r="B101" s="385" t="s">
        <v>228</v>
      </c>
      <c r="C101" s="385" t="s">
        <v>42</v>
      </c>
      <c r="D101" s="385" t="s">
        <v>303</v>
      </c>
      <c r="E101" s="359">
        <f>_xlfn.IFNA(VLOOKUP(AllocationTable[[#This Row],[TRADE]],LatestDump!A:H,2,FALSE),0) + (_xlfn.IFNA(VLOOKUP(AllocationTable[[#This Row],[TRADE]],LongTerm!A:D,4,0),0))</f>
        <v>0</v>
      </c>
      <c r="F101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101" s="360">
        <f>_xlfn.IFNA(ROUND(VLOOKUP(AllocationTable[[#This Row],[TRADE]],LatestDump!A:H,4,FALSE),2),0)</f>
        <v>0</v>
      </c>
      <c r="H101" s="377">
        <v>4200</v>
      </c>
      <c r="I101" s="361">
        <f>AllocationTable[[#This Row],[EA]]-AllocationTable[[#This Row],[AA]]</f>
        <v>0</v>
      </c>
      <c r="J101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101" s="346"/>
      <c r="L101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101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101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101" s="363">
        <f>AllocationTable[[#This Row],[CURRENT VALUE]]-AllocationTable[[#This Row],[AA]]</f>
        <v>0</v>
      </c>
      <c r="P101" s="364">
        <f>IFERROR(AllocationTable[[#This Row],[PROFIT]]/AllocationTable[[#This Row],[AA]],0)</f>
        <v>0</v>
      </c>
      <c r="Q101" s="386">
        <f>AllocationTable[[#This Row],[QNT]]*AllocationTable[[#This Row],[LTP]]</f>
        <v>0</v>
      </c>
      <c r="R101" s="386">
        <v>27570.200000000004</v>
      </c>
      <c r="S101" s="386"/>
      <c r="T101" s="366">
        <v>0</v>
      </c>
      <c r="U101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101" s="367">
        <f ca="1">AllocationTable[[#This Row],[AA]]/AllocationTable[[#Totals],[AA]]</f>
        <v>0</v>
      </c>
      <c r="W101" s="360">
        <f>AllocationTable[[#This Row],[QNT]]*AllocationTable[[#This Row],[AVG.]]</f>
        <v>0</v>
      </c>
      <c r="X101" s="359">
        <v>-1</v>
      </c>
      <c r="Y101" s="359" t="s">
        <v>317</v>
      </c>
      <c r="Z101" s="359">
        <v>0</v>
      </c>
      <c r="AA101" s="359">
        <v>0</v>
      </c>
      <c r="AB101" s="359">
        <v>0</v>
      </c>
      <c r="AC101" s="359">
        <v>0</v>
      </c>
      <c r="AD101" s="359">
        <v>0</v>
      </c>
    </row>
    <row r="102" spans="1:30" ht="15" customHeight="1" x14ac:dyDescent="0.25">
      <c r="A102" s="384" t="s">
        <v>121</v>
      </c>
      <c r="B102" s="385" t="s">
        <v>228</v>
      </c>
      <c r="C102" s="385" t="s">
        <v>42</v>
      </c>
      <c r="D102" s="385" t="s">
        <v>303</v>
      </c>
      <c r="E102" s="359">
        <f>_xlfn.IFNA(VLOOKUP(AllocationTable[[#This Row],[TRADE]],LatestDump!A:H,2,FALSE),0) + (_xlfn.IFNA(VLOOKUP(AllocationTable[[#This Row],[TRADE]],LongTerm!A:D,4,0),0))</f>
        <v>0</v>
      </c>
      <c r="F102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102" s="360">
        <f>_xlfn.IFNA(ROUND(VLOOKUP(AllocationTable[[#This Row],[TRADE]],LatestDump!A:H,4,FALSE),2),0)</f>
        <v>0</v>
      </c>
      <c r="H102" s="377">
        <v>5000</v>
      </c>
      <c r="I102" s="361">
        <f>AllocationTable[[#This Row],[EA]]-AllocationTable[[#This Row],[AA]]</f>
        <v>0</v>
      </c>
      <c r="J102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102" s="346"/>
      <c r="L102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102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102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102" s="363">
        <f>AllocationTable[[#This Row],[CURRENT VALUE]]-AllocationTable[[#This Row],[AA]]</f>
        <v>0</v>
      </c>
      <c r="P102" s="364">
        <f>IFERROR(AllocationTable[[#This Row],[PROFIT]]/AllocationTable[[#This Row],[AA]],0)</f>
        <v>0</v>
      </c>
      <c r="Q102" s="386">
        <f>AllocationTable[[#This Row],[QNT]]*AllocationTable[[#This Row],[LTP]]</f>
        <v>0</v>
      </c>
      <c r="R102" s="386">
        <v>9623.7000000000007</v>
      </c>
      <c r="S102" s="386"/>
      <c r="T102" s="366">
        <v>0</v>
      </c>
      <c r="U102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102" s="367">
        <f ca="1">AllocationTable[[#This Row],[AA]]/AllocationTable[[#Totals],[AA]]</f>
        <v>0</v>
      </c>
      <c r="W102" s="360">
        <f>AllocationTable[[#This Row],[QNT]]*AllocationTable[[#This Row],[AVG.]]</f>
        <v>0</v>
      </c>
      <c r="X102" s="359">
        <v>-1</v>
      </c>
      <c r="Y102" s="359" t="s">
        <v>317</v>
      </c>
      <c r="Z102" s="359">
        <v>0</v>
      </c>
      <c r="AA102" s="359">
        <v>0</v>
      </c>
      <c r="AB102" s="359">
        <v>0</v>
      </c>
      <c r="AC102" s="359">
        <v>0</v>
      </c>
      <c r="AD102" s="359">
        <v>0</v>
      </c>
    </row>
    <row r="103" spans="1:30" ht="15" customHeight="1" x14ac:dyDescent="0.25">
      <c r="A103" s="384" t="s">
        <v>123</v>
      </c>
      <c r="B103" s="385" t="s">
        <v>228</v>
      </c>
      <c r="C103" s="385" t="s">
        <v>42</v>
      </c>
      <c r="D103" s="385" t="s">
        <v>304</v>
      </c>
      <c r="E103" s="359">
        <f>_xlfn.IFNA(VLOOKUP(AllocationTable[[#This Row],[TRADE]],LatestDump!A:H,2,FALSE),0) + (_xlfn.IFNA(VLOOKUP(AllocationTable[[#This Row],[TRADE]],LongTerm!A:D,4,0),0))</f>
        <v>400</v>
      </c>
      <c r="F103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104.29774999999999</v>
      </c>
      <c r="G103" s="360">
        <f>_xlfn.IFNA(ROUND(VLOOKUP(AllocationTable[[#This Row],[TRADE]],LatestDump!A:H,4,FALSE),2),0)</f>
        <v>114.5</v>
      </c>
      <c r="H103" s="377">
        <v>158</v>
      </c>
      <c r="I103" s="361">
        <f>AllocationTable[[#This Row],[EA]]-AllocationTable[[#This Row],[AA]]</f>
        <v>-35149.620799999997</v>
      </c>
      <c r="J103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Partial Profit</v>
      </c>
      <c r="K103" s="346"/>
      <c r="L103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143 ,Qnt: -42</v>
      </c>
      <c r="M103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127 ,Qnt: -92</v>
      </c>
      <c r="N103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111 ,Qnt: -171</v>
      </c>
      <c r="O103" s="363">
        <f>AllocationTable[[#This Row],[CURRENT VALUE]]-AllocationTable[[#This Row],[AA]]</f>
        <v>4080.9000000000015</v>
      </c>
      <c r="P103" s="364">
        <f>IFERROR(AllocationTable[[#This Row],[PROFIT]]/AllocationTable[[#This Row],[AA]],0)</f>
        <v>9.7818505193065092E-2</v>
      </c>
      <c r="Q103" s="386">
        <f>AllocationTable[[#This Row],[QNT]]*AllocationTable[[#This Row],[LTP]]</f>
        <v>45800</v>
      </c>
      <c r="R103" s="386">
        <v>32279.1</v>
      </c>
      <c r="S103" s="386"/>
      <c r="T103" s="366">
        <v>0.8</v>
      </c>
      <c r="U103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6569.4791999999989</v>
      </c>
      <c r="V103" s="367">
        <f ca="1">AllocationTable[[#This Row],[AA]]/AllocationTable[[#Totals],[AA]]</f>
        <v>4.8294421125863532E-3</v>
      </c>
      <c r="W103" s="360">
        <f>AllocationTable[[#This Row],[QNT]]*AllocationTable[[#This Row],[AVG.]]</f>
        <v>41719.1</v>
      </c>
      <c r="X103" s="359">
        <v>10</v>
      </c>
      <c r="Y103" s="359" t="s">
        <v>314</v>
      </c>
      <c r="Z103" s="359">
        <v>-8</v>
      </c>
      <c r="AA103" s="359">
        <v>-8</v>
      </c>
      <c r="AB103" s="359">
        <v>0</v>
      </c>
      <c r="AC103" s="359">
        <v>15</v>
      </c>
      <c r="AD103" s="359" t="s">
        <v>315</v>
      </c>
    </row>
    <row r="104" spans="1:30" ht="15" customHeight="1" x14ac:dyDescent="0.25">
      <c r="A104" s="396" t="s">
        <v>60</v>
      </c>
      <c r="B104" s="397" t="s">
        <v>229</v>
      </c>
      <c r="C104" s="397" t="s">
        <v>42</v>
      </c>
      <c r="D104" s="397" t="s">
        <v>304</v>
      </c>
      <c r="E104" s="359">
        <f>_xlfn.IFNA(VLOOKUP(AllocationTable[[#This Row],[TRADE]],LatestDump!A:H,2,FALSE),0) + (_xlfn.IFNA(VLOOKUP(AllocationTable[[#This Row],[TRADE]],LongTerm!A:D,4,0),0))</f>
        <v>10</v>
      </c>
      <c r="F104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1346.1399999999999</v>
      </c>
      <c r="G104" s="360">
        <f>_xlfn.IFNA(ROUND(VLOOKUP(AllocationTable[[#This Row],[TRADE]],LatestDump!A:H,4,FALSE),2),0)</f>
        <v>1401.6</v>
      </c>
      <c r="H104" s="346">
        <v>2200</v>
      </c>
      <c r="I104" s="361">
        <f>AllocationTable[[#This Row],[EA]]-AllocationTable[[#This Row],[AA]]</f>
        <v>-3607.1812000000009</v>
      </c>
      <c r="J104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104" s="346"/>
      <c r="L104" s="375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1980 ,Qnt: 0</v>
      </c>
      <c r="M104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1760 ,Qnt: 0</v>
      </c>
      <c r="N104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1540 ,Qnt: -1</v>
      </c>
      <c r="O104" s="363">
        <f>AllocationTable[[#This Row],[CURRENT VALUE]]-AllocationTable[[#This Row],[AA]]</f>
        <v>554.60000000000218</v>
      </c>
      <c r="P104" s="364">
        <f>IFERROR(AllocationTable[[#This Row],[PROFIT]]/AllocationTable[[#This Row],[AA]],0)</f>
        <v>4.1199280906889499E-2</v>
      </c>
      <c r="Q104" s="398">
        <f>AllocationTable[[#This Row],[QNT]]*AllocationTable[[#This Row],[LTP]]</f>
        <v>14016</v>
      </c>
      <c r="R104" s="398">
        <v>29996</v>
      </c>
      <c r="S104" s="398"/>
      <c r="T104" s="366">
        <v>1.2</v>
      </c>
      <c r="U104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9854.2187999999969</v>
      </c>
      <c r="V104" s="367">
        <f ca="1">AllocationTable[[#This Row],[AA]]/AllocationTable[[#Totals],[AA]]</f>
        <v>1.5583042791999331E-3</v>
      </c>
      <c r="W104" s="360">
        <f>AllocationTable[[#This Row],[QNT]]*AllocationTable[[#This Row],[AVG.]]</f>
        <v>13461.399999999998</v>
      </c>
      <c r="X104" s="359">
        <v>10</v>
      </c>
      <c r="Y104" s="359" t="s">
        <v>312</v>
      </c>
      <c r="Z104" s="359">
        <v>-10</v>
      </c>
      <c r="AA104" s="359">
        <v>-10</v>
      </c>
      <c r="AB104" s="359">
        <v>15</v>
      </c>
      <c r="AC104" s="359">
        <v>20</v>
      </c>
      <c r="AD104" s="359" t="s">
        <v>313</v>
      </c>
    </row>
    <row r="105" spans="1:30" ht="15" customHeight="1" x14ac:dyDescent="0.25">
      <c r="A105" s="396" t="s">
        <v>75</v>
      </c>
      <c r="B105" s="397" t="s">
        <v>229</v>
      </c>
      <c r="C105" s="397" t="s">
        <v>42</v>
      </c>
      <c r="D105" s="397" t="s">
        <v>304</v>
      </c>
      <c r="E105" s="359">
        <f>_xlfn.IFNA(VLOOKUP(AllocationTable[[#This Row],[TRADE]],LatestDump!A:H,2,FALSE),0) + (_xlfn.IFNA(VLOOKUP(AllocationTable[[#This Row],[TRADE]],LongTerm!A:D,4,0),0))</f>
        <v>0</v>
      </c>
      <c r="F105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105" s="360">
        <f>_xlfn.IFNA(ROUND(VLOOKUP(AllocationTable[[#This Row],[TRADE]],LatestDump!A:H,4,FALSE),2),0)</f>
        <v>0</v>
      </c>
      <c r="H105" s="346">
        <v>1120</v>
      </c>
      <c r="I105" s="361">
        <f>AllocationTable[[#This Row],[EA]]-AllocationTable[[#This Row],[AA]]</f>
        <v>6569.4791999999989</v>
      </c>
      <c r="J105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105" s="346"/>
      <c r="L105" s="375" t="e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#DIV/0!</v>
      </c>
      <c r="M105" s="360" t="e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#DIV/0!</v>
      </c>
      <c r="N105" s="362" t="e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#DIV/0!</v>
      </c>
      <c r="O105" s="363">
        <f>AllocationTable[[#This Row],[CURRENT VALUE]]-AllocationTable[[#This Row],[AA]]</f>
        <v>0</v>
      </c>
      <c r="P105" s="364">
        <f>IFERROR(AllocationTable[[#This Row],[PROFIT]]/AllocationTable[[#This Row],[AA]],0)</f>
        <v>0</v>
      </c>
      <c r="Q105" s="398">
        <f>AllocationTable[[#This Row],[QNT]]*AllocationTable[[#This Row],[LTP]]</f>
        <v>0</v>
      </c>
      <c r="R105" s="398">
        <v>30452</v>
      </c>
      <c r="S105" s="398"/>
      <c r="T105" s="366">
        <v>0.8</v>
      </c>
      <c r="U105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6569.4791999999989</v>
      </c>
      <c r="V105" s="367">
        <f ca="1">AllocationTable[[#This Row],[AA]]/AllocationTable[[#Totals],[AA]]</f>
        <v>0</v>
      </c>
      <c r="W105" s="360">
        <f>AllocationTable[[#This Row],[QNT]]*AllocationTable[[#This Row],[AVG.]]</f>
        <v>0</v>
      </c>
      <c r="X105" s="359">
        <v>10</v>
      </c>
      <c r="Y105" s="359" t="s">
        <v>314</v>
      </c>
      <c r="Z105" s="359">
        <v>-8</v>
      </c>
      <c r="AA105" s="359">
        <v>-8</v>
      </c>
      <c r="AB105" s="359">
        <v>0</v>
      </c>
      <c r="AC105" s="359">
        <v>15</v>
      </c>
      <c r="AD105" s="359" t="s">
        <v>315</v>
      </c>
    </row>
    <row r="106" spans="1:30" ht="15" customHeight="1" x14ac:dyDescent="0.25">
      <c r="A106" s="396" t="s">
        <v>77</v>
      </c>
      <c r="B106" s="397" t="s">
        <v>229</v>
      </c>
      <c r="C106" s="397" t="s">
        <v>42</v>
      </c>
      <c r="D106" s="397" t="s">
        <v>304</v>
      </c>
      <c r="E106" s="359">
        <f>_xlfn.IFNA(VLOOKUP(AllocationTable[[#This Row],[TRADE]],LatestDump!A:H,2,FALSE),0) + (_xlfn.IFNA(VLOOKUP(AllocationTable[[#This Row],[TRADE]],LongTerm!A:D,4,0),0))</f>
        <v>50</v>
      </c>
      <c r="F106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369.69599999999997</v>
      </c>
      <c r="G106" s="360">
        <f>_xlfn.IFNA(ROUND(VLOOKUP(AllocationTable[[#This Row],[TRADE]],LatestDump!A:H,4,FALSE),2),0)</f>
        <v>425.8</v>
      </c>
      <c r="H106" s="346">
        <v>590</v>
      </c>
      <c r="I106" s="361">
        <f>AllocationTable[[#This Row],[EA]]-AllocationTable[[#This Row],[AA]]</f>
        <v>-11915.320800000001</v>
      </c>
      <c r="J106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Book Profit</v>
      </c>
      <c r="K106" s="346"/>
      <c r="L106" s="375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106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106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106" s="363">
        <f>AllocationTable[[#This Row],[CURRENT VALUE]]-AllocationTable[[#This Row],[AA]]</f>
        <v>2805.2000000000007</v>
      </c>
      <c r="P106" s="364">
        <f>IFERROR(AllocationTable[[#This Row],[PROFIT]]/AllocationTable[[#This Row],[AA]],0)</f>
        <v>0.15175711936293607</v>
      </c>
      <c r="Q106" s="398">
        <f>AllocationTable[[#This Row],[QNT]]*AllocationTable[[#This Row],[LTP]]</f>
        <v>21290</v>
      </c>
      <c r="R106" s="398">
        <v>54056.45</v>
      </c>
      <c r="S106" s="398"/>
      <c r="T106" s="366">
        <v>0.8</v>
      </c>
      <c r="U106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6569.4791999999989</v>
      </c>
      <c r="V106" s="367">
        <f ca="1">AllocationTable[[#This Row],[AA]]/AllocationTable[[#Totals],[AA]]</f>
        <v>2.1398177708228661E-3</v>
      </c>
      <c r="W106" s="360">
        <f>AllocationTable[[#This Row],[QNT]]*AllocationTable[[#This Row],[AVG.]]</f>
        <v>18484.8</v>
      </c>
      <c r="X106" s="359">
        <v>-1</v>
      </c>
      <c r="Y106" s="359" t="s">
        <v>314</v>
      </c>
      <c r="Z106" s="359">
        <v>-8</v>
      </c>
      <c r="AA106" s="359">
        <v>-8</v>
      </c>
      <c r="AB106" s="359">
        <v>0</v>
      </c>
      <c r="AC106" s="359">
        <v>15</v>
      </c>
      <c r="AD106" s="359" t="s">
        <v>315</v>
      </c>
    </row>
    <row r="107" spans="1:30" ht="15" customHeight="1" x14ac:dyDescent="0.25">
      <c r="A107" s="396" t="s">
        <v>101</v>
      </c>
      <c r="B107" s="397" t="s">
        <v>229</v>
      </c>
      <c r="C107" s="397" t="s">
        <v>42</v>
      </c>
      <c r="D107" s="397" t="s">
        <v>302</v>
      </c>
      <c r="E107" s="359">
        <f>_xlfn.IFNA(VLOOKUP(AllocationTable[[#This Row],[TRADE]],LatestDump!A:H,2,FALSE),0) + (_xlfn.IFNA(VLOOKUP(AllocationTable[[#This Row],[TRADE]],LongTerm!A:D,4,0),0))</f>
        <v>31</v>
      </c>
      <c r="F107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2609.6532258064517</v>
      </c>
      <c r="G107" s="360">
        <f>_xlfn.IFNA(ROUND(VLOOKUP(AllocationTable[[#This Row],[TRADE]],LatestDump!A:H,4,FALSE),2),0)</f>
        <v>3346.2</v>
      </c>
      <c r="H107" s="346">
        <v>4500</v>
      </c>
      <c r="I107" s="361">
        <f>AllocationTable[[#This Row],[EA]]-AllocationTable[[#This Row],[AA]]</f>
        <v>-40661.189900000005</v>
      </c>
      <c r="J107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107" s="346"/>
      <c r="L107" s="375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4050 ,Qnt: -1</v>
      </c>
      <c r="M107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3600 ,Qnt: -3</v>
      </c>
      <c r="N107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3150 ,Qnt: -6</v>
      </c>
      <c r="O107" s="363">
        <f>AllocationTable[[#This Row],[CURRENT VALUE]]-AllocationTable[[#This Row],[AA]]</f>
        <v>22832.949999999997</v>
      </c>
      <c r="P107" s="364">
        <f>IFERROR(AllocationTable[[#This Row],[PROFIT]]/AllocationTable[[#This Row],[AA]],0)</f>
        <v>0.28223932854754519</v>
      </c>
      <c r="Q107" s="398">
        <f>AllocationTable[[#This Row],[QNT]]*AllocationTable[[#This Row],[LTP]]</f>
        <v>103732.2</v>
      </c>
      <c r="R107" s="398">
        <v>61416.099999999991</v>
      </c>
      <c r="S107" s="398"/>
      <c r="T107" s="366">
        <v>2.1</v>
      </c>
      <c r="U107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40238.060099999995</v>
      </c>
      <c r="V107" s="367">
        <f ca="1">AllocationTable[[#This Row],[AA]]/AllocationTable[[#Totals],[AA]]</f>
        <v>9.3649729938242096E-3</v>
      </c>
      <c r="W107" s="360">
        <f>AllocationTable[[#This Row],[QNT]]*AllocationTable[[#This Row],[AVG.]]</f>
        <v>80899.25</v>
      </c>
      <c r="X107" s="359">
        <v>10</v>
      </c>
      <c r="Y107" s="359" t="s">
        <v>312</v>
      </c>
      <c r="Z107" s="359"/>
      <c r="AA107" s="359"/>
      <c r="AB107" s="359"/>
      <c r="AC107" s="359"/>
      <c r="AD107" s="359"/>
    </row>
    <row r="108" spans="1:30" ht="15" customHeight="1" x14ac:dyDescent="0.25">
      <c r="A108" s="387" t="s">
        <v>69</v>
      </c>
      <c r="B108" s="387" t="s">
        <v>223</v>
      </c>
      <c r="C108" s="387" t="s">
        <v>42</v>
      </c>
      <c r="D108" s="387" t="s">
        <v>303</v>
      </c>
      <c r="E108" s="359">
        <f>_xlfn.IFNA(VLOOKUP(AllocationTable[[#This Row],[TRADE]],LatestDump!A:H,2,FALSE),0) + (_xlfn.IFNA(VLOOKUP(AllocationTable[[#This Row],[TRADE]],LongTerm!A:D,4,0),0))</f>
        <v>25</v>
      </c>
      <c r="F108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1901.42</v>
      </c>
      <c r="G108" s="360">
        <f>_xlfn.IFNA(ROUND(VLOOKUP(AllocationTable[[#This Row],[TRADE]],LatestDump!A:H,4,FALSE),2),0)</f>
        <v>1870</v>
      </c>
      <c r="H108" s="346">
        <v>2250</v>
      </c>
      <c r="I108" s="361">
        <f>AllocationTable[[#This Row],[EA]]-AllocationTable[[#This Row],[AA]]</f>
        <v>-47535.5</v>
      </c>
      <c r="J108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108" s="346"/>
      <c r="L108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108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108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108" s="363">
        <f>AllocationTable[[#This Row],[CURRENT VALUE]]-AllocationTable[[#This Row],[AA]]</f>
        <v>-785.5</v>
      </c>
      <c r="P108" s="364">
        <f>IFERROR(AllocationTable[[#This Row],[PROFIT]]/AllocationTable[[#This Row],[AA]],0)</f>
        <v>-1.6524492221602804E-2</v>
      </c>
      <c r="Q108" s="389">
        <f>AllocationTable[[#This Row],[QNT]]*AllocationTable[[#This Row],[LTP]]</f>
        <v>46750</v>
      </c>
      <c r="R108" s="389">
        <v>36216.449999999997</v>
      </c>
      <c r="S108" s="389"/>
      <c r="T108" s="366">
        <v>0</v>
      </c>
      <c r="U108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0</v>
      </c>
      <c r="V108" s="367">
        <f ca="1">AllocationTable[[#This Row],[AA]]/AllocationTable[[#Totals],[AA]]</f>
        <v>5.5027540273603365E-3</v>
      </c>
      <c r="W108" s="360">
        <f>AllocationTable[[#This Row],[QNT]]*AllocationTable[[#This Row],[AVG.]]</f>
        <v>47535.5</v>
      </c>
      <c r="X108" s="359">
        <v>-1</v>
      </c>
      <c r="Y108" s="359" t="s">
        <v>317</v>
      </c>
      <c r="Z108" s="359">
        <v>0</v>
      </c>
      <c r="AA108" s="359">
        <v>0</v>
      </c>
      <c r="AB108" s="359">
        <v>0</v>
      </c>
      <c r="AC108" s="359">
        <v>0</v>
      </c>
      <c r="AD108" s="359">
        <v>0</v>
      </c>
    </row>
    <row r="109" spans="1:30" ht="15" customHeight="1" x14ac:dyDescent="0.25">
      <c r="A109" s="387" t="s">
        <v>206</v>
      </c>
      <c r="B109" s="387" t="s">
        <v>223</v>
      </c>
      <c r="C109" s="387" t="s">
        <v>42</v>
      </c>
      <c r="D109" s="387" t="s">
        <v>304</v>
      </c>
      <c r="E109" s="359">
        <f>_xlfn.IFNA(VLOOKUP(AllocationTable[[#This Row],[TRADE]],LatestDump!A:H,2,FALSE),0) + (_xlfn.IFNA(VLOOKUP(AllocationTable[[#This Row],[TRADE]],LongTerm!A:D,4,0),0))</f>
        <v>0</v>
      </c>
      <c r="F109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109" s="360">
        <f>_xlfn.IFNA(ROUND(VLOOKUP(AllocationTable[[#This Row],[TRADE]],LatestDump!A:H,4,FALSE),2),0)</f>
        <v>0</v>
      </c>
      <c r="H109" s="346">
        <v>107</v>
      </c>
      <c r="I109" s="361">
        <f>AllocationTable[[#This Row],[EA]]-AllocationTable[[#This Row],[AA]]</f>
        <v>6569.4791999999989</v>
      </c>
      <c r="J109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109" s="346"/>
      <c r="L109" s="375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EXIT</v>
      </c>
      <c r="M109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EXIT</v>
      </c>
      <c r="N109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EXIT</v>
      </c>
      <c r="O109" s="363">
        <f>AllocationTable[[#This Row],[CURRENT VALUE]]-AllocationTable[[#This Row],[AA]]</f>
        <v>0</v>
      </c>
      <c r="P109" s="364">
        <f>IFERROR(AllocationTable[[#This Row],[PROFIT]]/AllocationTable[[#This Row],[AA]],0)</f>
        <v>0</v>
      </c>
      <c r="Q109" s="389">
        <f>AllocationTable[[#This Row],[QNT]]*AllocationTable[[#This Row],[LTP]]</f>
        <v>0</v>
      </c>
      <c r="R109" s="389">
        <v>16756</v>
      </c>
      <c r="S109" s="389"/>
      <c r="T109" s="366">
        <v>0.8</v>
      </c>
      <c r="U109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6569.4791999999989</v>
      </c>
      <c r="V109" s="367">
        <f ca="1">AllocationTable[[#This Row],[AA]]/AllocationTable[[#Totals],[AA]]</f>
        <v>0</v>
      </c>
      <c r="W109" s="360">
        <f>AllocationTable[[#This Row],[QNT]]*AllocationTable[[#This Row],[AVG.]]</f>
        <v>0</v>
      </c>
      <c r="X109" s="359">
        <v>-1</v>
      </c>
      <c r="Y109" s="359" t="s">
        <v>314</v>
      </c>
      <c r="Z109" s="359">
        <v>-8</v>
      </c>
      <c r="AA109" s="359">
        <v>-8</v>
      </c>
      <c r="AB109" s="359">
        <v>0</v>
      </c>
      <c r="AC109" s="359">
        <v>15</v>
      </c>
      <c r="AD109" s="359" t="s">
        <v>315</v>
      </c>
    </row>
    <row r="110" spans="1:30" ht="15" customHeight="1" x14ac:dyDescent="0.25">
      <c r="A110" s="384" t="s">
        <v>94</v>
      </c>
      <c r="B110" s="385" t="s">
        <v>226</v>
      </c>
      <c r="C110" s="385" t="s">
        <v>42</v>
      </c>
      <c r="D110" s="385" t="s">
        <v>304</v>
      </c>
      <c r="E110" s="359">
        <f>_xlfn.IFNA(VLOOKUP(AllocationTable[[#This Row],[TRADE]],LatestDump!A:H,2,FALSE),0) + (_xlfn.IFNA(VLOOKUP(AllocationTable[[#This Row],[TRADE]],LongTerm!A:D,4,0),0))</f>
        <v>0</v>
      </c>
      <c r="F110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0</v>
      </c>
      <c r="G110" s="360">
        <f>_xlfn.IFNA(ROUND(VLOOKUP(AllocationTable[[#This Row],[TRADE]],LatestDump!A:H,4,FALSE),2),0)</f>
        <v>0</v>
      </c>
      <c r="H110" s="346">
        <v>1395</v>
      </c>
      <c r="I110" s="361">
        <f>AllocationTable[[#This Row],[EA]]-AllocationTable[[#This Row],[AA]]</f>
        <v>6569.4791999999989</v>
      </c>
      <c r="J110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110" s="346"/>
      <c r="L110" s="375" t="e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#DIV/0!</v>
      </c>
      <c r="M110" s="360" t="e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#DIV/0!</v>
      </c>
      <c r="N110" s="362" t="e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#DIV/0!</v>
      </c>
      <c r="O110" s="363">
        <f>AllocationTable[[#This Row],[CURRENT VALUE]]-AllocationTable[[#This Row],[AA]]</f>
        <v>0</v>
      </c>
      <c r="P110" s="364">
        <f>IFERROR(AllocationTable[[#This Row],[PROFIT]]/AllocationTable[[#This Row],[AA]],0)</f>
        <v>0</v>
      </c>
      <c r="Q110" s="386">
        <f>AllocationTable[[#This Row],[QNT]]*AllocationTable[[#This Row],[LTP]]</f>
        <v>0</v>
      </c>
      <c r="R110" s="386">
        <v>39365.199999999997</v>
      </c>
      <c r="S110" s="386"/>
      <c r="T110" s="366">
        <v>0.8</v>
      </c>
      <c r="U110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6569.4791999999989</v>
      </c>
      <c r="V110" s="367">
        <f ca="1">AllocationTable[[#This Row],[AA]]/AllocationTable[[#Totals],[AA]]</f>
        <v>0</v>
      </c>
      <c r="W110" s="360">
        <f>AllocationTable[[#This Row],[QNT]]*AllocationTable[[#This Row],[AVG.]]</f>
        <v>0</v>
      </c>
      <c r="X110" s="359">
        <v>10</v>
      </c>
      <c r="Y110" s="359" t="s">
        <v>314</v>
      </c>
      <c r="Z110" s="359">
        <v>-8</v>
      </c>
      <c r="AA110" s="359">
        <v>-8</v>
      </c>
      <c r="AB110" s="359">
        <v>0</v>
      </c>
      <c r="AC110" s="359">
        <v>15</v>
      </c>
      <c r="AD110" s="359" t="s">
        <v>315</v>
      </c>
    </row>
    <row r="111" spans="1:30" ht="15" customHeight="1" x14ac:dyDescent="0.25">
      <c r="A111" s="390" t="s">
        <v>198</v>
      </c>
      <c r="B111" s="391" t="s">
        <v>236</v>
      </c>
      <c r="C111" s="391" t="s">
        <v>42</v>
      </c>
      <c r="D111" s="391" t="s">
        <v>304</v>
      </c>
      <c r="E111" s="359">
        <f>_xlfn.IFNA(VLOOKUP(AllocationTable[[#This Row],[TRADE]],LatestDump!A:H,2,FALSE),0) + (_xlfn.IFNA(VLOOKUP(AllocationTable[[#This Row],[TRADE]],LongTerm!A:D,4,0),0))</f>
        <v>86</v>
      </c>
      <c r="F111" s="360">
        <f>IFERROR(
   (
     _xlfn.IFNA(VLOOKUP(AllocationTable[[#This Row],[TRADE]],LatestDump!A:H,5,FALSE),0) +
     _xlfn.IFNA(VLOOKUP(AllocationTable[[#This Row],[TRADE]],AllocationTable9[[TRADE]:[AA]],14,0),0)
   ) / AllocationTable[[#This Row],[QNT]],
0)</f>
        <v>681.04593023255813</v>
      </c>
      <c r="G111" s="360">
        <f>_xlfn.IFNA(ROUND(VLOOKUP(AllocationTable[[#This Row],[TRADE]],LatestDump!A:H,4,FALSE),2),0)</f>
        <v>641.5</v>
      </c>
      <c r="H111" s="346">
        <v>860</v>
      </c>
      <c r="I111" s="361">
        <f>AllocationTable[[#This Row],[EA]]-AllocationTable[[#This Row],[AA]]</f>
        <v>-48715.731200000002</v>
      </c>
      <c r="J111" s="346" t="str">
        <f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HOLD</v>
      </c>
      <c r="K111" s="346"/>
      <c r="L111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774 ,Qnt: -10</v>
      </c>
      <c r="M111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688 ,Qnt: -22</v>
      </c>
      <c r="N111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602 ,Qnt: -42</v>
      </c>
      <c r="O111" s="363">
        <f>AllocationTable[[#This Row],[CURRENT VALUE]]-AllocationTable[[#This Row],[AA]]</f>
        <v>-3400.9499999999971</v>
      </c>
      <c r="P111" s="364">
        <f>IFERROR(AllocationTable[[#This Row],[PROFIT]]/AllocationTable[[#This Row],[AA]],0)</f>
        <v>-5.80664658241982E-2</v>
      </c>
      <c r="Q111" s="392">
        <f>AllocationTable[[#This Row],[QNT]]*AllocationTable[[#This Row],[LTP]]</f>
        <v>55169</v>
      </c>
      <c r="R111" s="392">
        <v>49240.45</v>
      </c>
      <c r="S111" s="392"/>
      <c r="T111" s="366">
        <v>1.2</v>
      </c>
      <c r="U111" s="346">
        <f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9854.2187999999969</v>
      </c>
      <c r="V111" s="367">
        <f ca="1">AllocationTable[[#This Row],[AA]]/AllocationTable[[#Totals],[AA]]</f>
        <v>6.7801123001713145E-3</v>
      </c>
      <c r="W111" s="360">
        <f>AllocationTable[[#This Row],[QNT]]*AllocationTable[[#This Row],[AVG.]]</f>
        <v>58569.95</v>
      </c>
      <c r="X111" s="359">
        <v>10</v>
      </c>
      <c r="Y111" s="359" t="s">
        <v>312</v>
      </c>
      <c r="Z111" s="359">
        <v>-10</v>
      </c>
      <c r="AA111" s="359">
        <v>-10</v>
      </c>
      <c r="AB111" s="359">
        <v>15</v>
      </c>
      <c r="AC111" s="359">
        <v>20</v>
      </c>
      <c r="AD111" s="359" t="s">
        <v>313</v>
      </c>
    </row>
    <row r="112" spans="1:30" ht="15" customHeight="1" x14ac:dyDescent="0.25">
      <c r="A112" s="370" t="s">
        <v>143</v>
      </c>
      <c r="B112" s="371" t="s">
        <v>36</v>
      </c>
      <c r="C112" s="370" t="s">
        <v>143</v>
      </c>
      <c r="D112" s="370" t="s">
        <v>143</v>
      </c>
      <c r="E112" s="359">
        <f ca="1">_xlfn.IFNA(VLOOKUP(AllocationTable[[#This Row],[TRADE]],LatestDump!A:H,2,FALSE),0) + (_xlfn.IFNA(VLOOKUP(AllocationTable[[#This Row],[TRADE]],LongTerm!A:D,4,0),0))</f>
        <v>108</v>
      </c>
      <c r="F112" s="360">
        <f ca="1">IFERROR(
   (
     _xlfn.IFNA(VLOOKUP(AllocationTable[[#This Row],[TRADE]],LatestDump!A:H,5,FALSE),0) +
     _xlfn.IFNA(VLOOKUP(AllocationTable[[#This Row],[TRADE]],AllocationTable9[[TRADE]:[AA]],14,0),0)
   ) / AllocationTable[[#This Row],[QNT]],
0)</f>
        <v>7110.1851851851852</v>
      </c>
      <c r="G112" s="360">
        <f ca="1">_xlfn.IFNA(ROUND(VLOOKUP(AllocationTable[[#This Row],[TRADE]],LatestDump!A:H,4,FALSE),2),0)</f>
        <v>8531.5300000000007</v>
      </c>
      <c r="H112" s="346"/>
      <c r="I112" s="361">
        <f ca="1">AllocationTable[[#This Row],[EA]]-AllocationTable[[#This Row],[AA]]</f>
        <v>37500</v>
      </c>
      <c r="J112" s="346" t="str">
        <f ca="1">IF(AllocationTable[[#This Row],[Term]]="Trading",IF(AllocationTable[[#This Row],[PROFIT%]]&gt;AllocationTable[[#This Row],[Final Target %]]%,"Book Profit",IF(AllocationTable[[#This Row],[PROFIT%]]&gt;AllocationTable[[#This Row],[Partial Profit %]]%,"Book Partial Profit",IF(AllocationTable[[#This Row],[PROFIT%]]&lt;=AllocationTable[[#This Row],[Stop Loss %]]%,"Book Loss",IF(AllocationTable[[#This Row],[Available Quota]]&gt;AllocationTable[[#This Row],[LTP]],"TOP UP","HOLD")))),IF(AllocationTable[[#This Row],[Available Quota]]&gt;AllocationTable[[#This Row],[LTP]],"TOP UP","HOLD"))</f>
        <v>TOP UP</v>
      </c>
      <c r="K112" s="346"/>
      <c r="L112" s="362" t="str">
        <f>IF(AllocationTable[[#This Row],[SIP%]]&gt;0,_xlfn.CEILING.MATH(AllocationTable[[#This Row],[High]]-(AllocationTable[[#This Row],[High]]*AllocationTable[[#This Row],[SIP%]]%))&amp;" ,Qnt: " &amp;(_xlfn.CEILING.MATH((AllocationTable[[#This Row],[Available Quota]]*14%)/AllocationTable[[#This Row],[LTP]])),IF(AllocationTable[[#This Row],[SIP%]]&lt;0,"EXIT","SIP"))</f>
        <v>SIP</v>
      </c>
      <c r="M112" s="360" t="str">
        <f>IF(AllocationTable[[#This Row],[SIP%]]&gt;0,_xlfn.CEILING.MATH(AllocationTable[[#This Row],[High]]-(AllocationTable[[#This Row],[High]]*2*AllocationTable[[#This Row],[SIP%]]%))&amp;" ,Qnt: " &amp;(_xlfn.CEILING.MATH((AllocationTable[[#This Row],[Available Quota]]*30%)/AllocationTable[[#This Row],[LTP]])),IF(AllocationTable[[#This Row],[SIP%]]&lt;0,"EXIT","SIP"))</f>
        <v>SIP</v>
      </c>
      <c r="N112" s="362" t="str">
        <f>IF(AllocationTable[[#This Row],[SIP%]]&gt;0,_xlfn.CEILING.MATH(AllocationTable[[#This Row],[High]]-(AllocationTable[[#This Row],[High]]*3*AllocationTable[[#This Row],[SIP%]]%))&amp;" ,Qnt: " &amp;(_xlfn.CEILING.MATH((AllocationTable[[#This Row],[Available Quota]]*56%)/AllocationTable[[#This Row],[LTP]])),IF(AllocationTable[[#This Row],[SIP%]]&lt;0,"EXIT","SIP"))</f>
        <v>SIP</v>
      </c>
      <c r="O112" s="363">
        <f ca="1">AllocationTable[[#This Row],[CURRENT VALUE]]-AllocationTable[[#This Row],[AA]]</f>
        <v>153505.24000000011</v>
      </c>
      <c r="P112" s="364">
        <f ca="1">IFERROR(AllocationTable[[#This Row],[PROFIT]]/AllocationTable[[#This Row],[AA]],0)</f>
        <v>0.19990264357338208</v>
      </c>
      <c r="Q112" s="372">
        <f ca="1">AllocationTable[[#This Row],[QNT]]*AllocationTable[[#This Row],[LTP]]</f>
        <v>921405.24000000011</v>
      </c>
      <c r="R112" s="372">
        <v>730400</v>
      </c>
      <c r="S112" s="372">
        <v>12500</v>
      </c>
      <c r="T112" s="366">
        <v>0</v>
      </c>
      <c r="U112" s="361">
        <f ca="1">IF(AllocationTable[[#This Row],[TYPE]]="Stocks",IF(AllocationTable[[#This Row],[Term]]="Long Term",LongTermQuota*AllocationTable[[#This Row],[EA%]]%,SwingTradeQuota*AllocationTable[[#This Row],[EA%]]%),AllocationTable[[#This Row],[Till 2025]]+(TotalMonth*AllocationTable[[#This Row],[ESIP]]))</f>
        <v>805400</v>
      </c>
      <c r="V112" s="367">
        <f ca="1">AllocationTable[[#This Row],[AA]]/AllocationTable[[#Totals],[AA]]</f>
        <v>8.8892823628866899E-2</v>
      </c>
      <c r="W112" s="360">
        <f ca="1">AllocationTable[[#This Row],[QNT]]*AllocationTable[[#This Row],[AVG.]]</f>
        <v>767900</v>
      </c>
      <c r="X112" s="359">
        <v>0</v>
      </c>
      <c r="Y112" s="359" t="s">
        <v>301</v>
      </c>
      <c r="Z112" s="359" t="s">
        <v>301</v>
      </c>
      <c r="AA112" s="359" t="s">
        <v>301</v>
      </c>
      <c r="AB112" s="359" t="s">
        <v>301</v>
      </c>
      <c r="AC112" s="359" t="s">
        <v>301</v>
      </c>
      <c r="AD112" s="359" t="s">
        <v>301</v>
      </c>
    </row>
    <row r="113" spans="1:30" ht="15" customHeight="1" thickBot="1" x14ac:dyDescent="0.3">
      <c r="A113" s="238"/>
      <c r="B113" s="240"/>
      <c r="C113" s="240"/>
      <c r="D113" s="240"/>
      <c r="E113" s="136">
        <f ca="1">SUBTOTAL(109,AllocationTable[QNT])</f>
        <v>31398.784999999993</v>
      </c>
      <c r="F113" s="136">
        <f ca="1">SUBTOTAL(101,AllocationTable[AVG.])</f>
        <v>1311.6323648858092</v>
      </c>
      <c r="G113" s="136"/>
      <c r="H113" s="137"/>
      <c r="I113" s="148">
        <f ca="1">SUBTOTAL(109,AllocationTable[Available Quota])</f>
        <v>-518974.07570000028</v>
      </c>
      <c r="J113" s="149"/>
      <c r="K113" s="149"/>
      <c r="L113" s="150"/>
      <c r="M113" s="151"/>
      <c r="N113" s="152"/>
      <c r="O113" s="153">
        <f ca="1">SUBTOTAL(109,AllocationTable[PROFIT])</f>
        <v>3906219.4413100011</v>
      </c>
      <c r="P113" s="154">
        <f ca="1">SUBTOTAL(101,AllocationTable[PROFIT%])</f>
        <v>0.23047504420606654</v>
      </c>
      <c r="Q113" s="140">
        <f ca="1">SUBTOTAL(109,AllocationTable[CURRENT VALUE])</f>
        <v>12544712.051309999</v>
      </c>
      <c r="R113" s="140"/>
      <c r="S113" s="140">
        <f>SUBTOTAL(109,AllocationTable[ESIP])</f>
        <v>94015</v>
      </c>
      <c r="T113" s="139">
        <f>SUBTOTAL(109,AllocationTable[EA%])</f>
        <v>138.70000000000005</v>
      </c>
      <c r="U113" s="153">
        <f ca="1">SUBTOTAL(109,AllocationTable[EA])</f>
        <v>8119518.5342999939</v>
      </c>
      <c r="V113" s="154">
        <f ca="1">SUBTOTAL(109,AllocationTable[AA%])</f>
        <v>1.0000000000000002</v>
      </c>
      <c r="W113" s="153">
        <f ca="1">SUBTOTAL(109,AllocationTable[AA])</f>
        <v>8638492.6099999994</v>
      </c>
      <c r="X113" s="155"/>
      <c r="Y113" s="155"/>
      <c r="Z113" s="155"/>
      <c r="AA113" s="155"/>
      <c r="AB113" s="155"/>
      <c r="AC113" s="155"/>
      <c r="AD113" s="155"/>
    </row>
    <row r="115" spans="1:30" ht="15" customHeight="1" x14ac:dyDescent="0.25">
      <c r="L115">
        <v>14</v>
      </c>
      <c r="M115">
        <v>30</v>
      </c>
      <c r="N115">
        <v>56</v>
      </c>
    </row>
  </sheetData>
  <phoneticPr fontId="9" type="noConversion"/>
  <conditionalFormatting sqref="H2:H112">
    <cfRule type="expression" dxfId="27" priority="22" stopIfTrue="1">
      <formula>$G2&gt;$H2</formula>
    </cfRule>
  </conditionalFormatting>
  <conditionalFormatting sqref="I2:I112">
    <cfRule type="expression" dxfId="26" priority="36" stopIfTrue="1">
      <formula>AND($I2&gt;0,$I2&lt;$F2)</formula>
    </cfRule>
    <cfRule type="expression" dxfId="25" priority="37" stopIfTrue="1">
      <formula>$I2&lt;0</formula>
    </cfRule>
    <cfRule type="expression" dxfId="24" priority="38" stopIfTrue="1">
      <formula>$I2&gt;$F2</formula>
    </cfRule>
  </conditionalFormatting>
  <conditionalFormatting sqref="J1:K1048576">
    <cfRule type="containsText" dxfId="23" priority="1" operator="containsText" text="TOP UP">
      <formula>NOT(ISERROR(SEARCH("TOP UP",J1)))</formula>
    </cfRule>
    <cfRule type="containsText" dxfId="22" priority="2" operator="containsText" text="Loss">
      <formula>NOT(ISERROR(SEARCH("Loss",J1)))</formula>
    </cfRule>
    <cfRule type="containsText" dxfId="21" priority="3" operator="containsText" text="Profit">
      <formula>NOT(ISERROR(SEARCH("Profit",J1)))</formula>
    </cfRule>
  </conditionalFormatting>
  <conditionalFormatting sqref="L2:N112">
    <cfRule type="containsText" dxfId="20" priority="15" operator="containsText" text="Waiting">
      <formula>NOT(ISERROR(SEARCH("Waiting",L2)))</formula>
    </cfRule>
  </conditionalFormatting>
  <conditionalFormatting sqref="O2:O112">
    <cfRule type="cellIs" dxfId="19" priority="9" operator="between">
      <formula>-5000</formula>
      <formula>10000</formula>
    </cfRule>
    <cfRule type="cellIs" dxfId="18" priority="10" operator="lessThan">
      <formula>-5000</formula>
    </cfRule>
    <cfRule type="cellIs" dxfId="17" priority="11" operator="greaterThan">
      <formula>10000</formula>
    </cfRule>
  </conditionalFormatting>
  <conditionalFormatting sqref="P2:P112">
    <cfRule type="cellIs" dxfId="16" priority="12" stopIfTrue="1" operator="between">
      <formula>-0.45</formula>
      <formula>0.45</formula>
    </cfRule>
    <cfRule type="cellIs" dxfId="15" priority="13" stopIfTrue="1" operator="lessThan">
      <formula>-0.45</formula>
    </cfRule>
    <cfRule type="cellIs" dxfId="14" priority="14" stopIfTrue="1" operator="greaterThan">
      <formula>0.45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4039-01A2-43C6-8120-1475534ACC3C}">
  <sheetPr>
    <tabColor rgb="FFFFFF00"/>
  </sheetPr>
  <dimension ref="A1:Q98"/>
  <sheetViews>
    <sheetView workbookViewId="0">
      <pane ySplit="1" topLeftCell="A5" activePane="bottomLeft" state="frozen"/>
      <selection pane="bottomLeft" activeCell="F7" sqref="F7"/>
    </sheetView>
  </sheetViews>
  <sheetFormatPr defaultColWidth="9.140625" defaultRowHeight="15" x14ac:dyDescent="0.25"/>
  <cols>
    <col min="1" max="1" width="54.28515625" style="2" bestFit="1" customWidth="1"/>
    <col min="2" max="6" width="9.140625" style="2"/>
    <col min="7" max="7" width="13.7109375" style="2" bestFit="1" customWidth="1"/>
    <col min="8" max="8" width="10.42578125" style="2" bestFit="1" customWidth="1"/>
    <col min="9" max="9" width="9.140625" style="2"/>
    <col min="10" max="10" width="49.7109375" style="2" bestFit="1" customWidth="1"/>
    <col min="11" max="16384" width="9.140625" style="2"/>
  </cols>
  <sheetData>
    <row r="1" spans="1:10" x14ac:dyDescent="0.25">
      <c r="A1" s="157" t="s">
        <v>46</v>
      </c>
      <c r="B1" s="158" t="s">
        <v>52</v>
      </c>
      <c r="C1" s="222" t="s">
        <v>53</v>
      </c>
      <c r="D1" s="222" t="s">
        <v>54</v>
      </c>
      <c r="E1" s="158" t="s">
        <v>44</v>
      </c>
      <c r="F1" s="158" t="s">
        <v>55</v>
      </c>
      <c r="G1" s="222" t="s">
        <v>45</v>
      </c>
      <c r="H1" s="222" t="s">
        <v>56</v>
      </c>
      <c r="I1" s="158" t="s">
        <v>57</v>
      </c>
      <c r="J1" s="158" t="s">
        <v>210</v>
      </c>
    </row>
    <row r="2" spans="1:10" x14ac:dyDescent="0.25">
      <c r="A2" s="159" t="s">
        <v>40</v>
      </c>
      <c r="B2" s="160">
        <v>1500</v>
      </c>
      <c r="C2" s="160">
        <v>466</v>
      </c>
      <c r="D2" s="160">
        <v>1100</v>
      </c>
      <c r="E2" s="160">
        <f>B2*C2</f>
        <v>699000</v>
      </c>
      <c r="F2" s="160">
        <f>B2*D2</f>
        <v>1650000</v>
      </c>
      <c r="G2" s="160">
        <f>F2-E2</f>
        <v>951000</v>
      </c>
      <c r="H2" s="161">
        <f t="shared" ref="H2" si="0">ROUND(G2/E2*100,0)</f>
        <v>136</v>
      </c>
      <c r="I2" s="160"/>
      <c r="J2" s="160" t="str">
        <f>_xlfn.IFNA(VLOOKUP(A2,AllocationTable[TRADE],1,0),"Not Invested")</f>
        <v>Land</v>
      </c>
    </row>
    <row r="3" spans="1:10" x14ac:dyDescent="0.25">
      <c r="A3" s="159" t="s">
        <v>41</v>
      </c>
      <c r="B3" s="160">
        <v>1</v>
      </c>
      <c r="C3" s="160">
        <v>0</v>
      </c>
      <c r="D3" s="160">
        <v>0</v>
      </c>
      <c r="E3" s="160">
        <v>0</v>
      </c>
      <c r="F3" s="160">
        <v>0</v>
      </c>
      <c r="G3" s="160">
        <v>0</v>
      </c>
      <c r="H3" s="161">
        <v>0</v>
      </c>
      <c r="I3" s="160">
        <v>0</v>
      </c>
      <c r="J3" s="160" t="str">
        <f>_xlfn.IFNA(VLOOKUP(A3,AllocationTable[TRADE],1,0),"Not Invested")</f>
        <v>Flat</v>
      </c>
    </row>
    <row r="4" spans="1:10" x14ac:dyDescent="0.25">
      <c r="A4" s="235"/>
      <c r="B4" s="236"/>
      <c r="C4" s="236"/>
      <c r="D4" s="236"/>
      <c r="E4" s="236"/>
      <c r="F4" s="236"/>
      <c r="G4" s="236"/>
      <c r="H4" s="237"/>
      <c r="I4" s="236"/>
      <c r="J4" s="236"/>
    </row>
    <row r="5" spans="1:10" x14ac:dyDescent="0.25">
      <c r="A5" s="159" t="s">
        <v>143</v>
      </c>
      <c r="B5" s="160">
        <f ca="1">DATEDIF(DATE(2017,3,26), TODAY(), "m")</f>
        <v>108</v>
      </c>
      <c r="C5" s="160">
        <f ca="1">E5/B5</f>
        <v>7110.1851851851852</v>
      </c>
      <c r="D5" s="160">
        <f ca="1">F5/B5</f>
        <v>8531.5277777777774</v>
      </c>
      <c r="E5" s="160">
        <f ca="1">705400+(DATEDIF(DATE(2025,11,1), TODAY(), "m")*12500)</f>
        <v>767900</v>
      </c>
      <c r="F5" s="160">
        <v>921405</v>
      </c>
      <c r="G5" s="160">
        <f ca="1">F5-E5</f>
        <v>153505</v>
      </c>
      <c r="H5" s="161">
        <f t="shared" ref="H5:H7" ca="1" si="1">ROUND(G5/E5*100,0)</f>
        <v>20</v>
      </c>
      <c r="I5" s="160"/>
      <c r="J5" s="160" t="str">
        <f>_xlfn.IFNA(VLOOKUP(A5,AllocationTable[TRADE],1,0),"Not Invested")</f>
        <v>Sukanya Samriddhi</v>
      </c>
    </row>
    <row r="6" spans="1:10" x14ac:dyDescent="0.25">
      <c r="A6" s="159" t="s">
        <v>149</v>
      </c>
      <c r="B6" s="160">
        <f ca="1">DATEDIF(DATE(2012,12,1), TODAY(), "m")</f>
        <v>160</v>
      </c>
      <c r="C6" s="160">
        <f ca="1">E6/B6</f>
        <v>12081.25</v>
      </c>
      <c r="D6" s="160">
        <f ca="1">F6/B6</f>
        <v>15990.893749999999</v>
      </c>
      <c r="E6" s="160">
        <f ca="1">1800000+(DATEDIF(DATE(2025,11,1), TODAY(), "m")*26600)</f>
        <v>1933000</v>
      </c>
      <c r="F6" s="160">
        <v>2558543</v>
      </c>
      <c r="G6" s="160">
        <f t="shared" ref="G6:G7" ca="1" si="2">F6-E6</f>
        <v>625543</v>
      </c>
      <c r="H6" s="161">
        <f t="shared" ca="1" si="1"/>
        <v>32</v>
      </c>
      <c r="I6" s="160"/>
      <c r="J6" s="160" t="str">
        <f>_xlfn.IFNA(VLOOKUP(A6,AllocationTable[TRADE],1,0),"Not Invested")</f>
        <v>EPF/PPF</v>
      </c>
    </row>
    <row r="7" spans="1:10" x14ac:dyDescent="0.25">
      <c r="A7" s="159" t="s">
        <v>38</v>
      </c>
      <c r="B7" s="160">
        <f ca="1">DATEDIF(DATE(2017,9,8), TODAY(), "m")</f>
        <v>103</v>
      </c>
      <c r="C7" s="160">
        <f ca="1">E7/B7</f>
        <v>10098.067961165048</v>
      </c>
      <c r="D7" s="160">
        <f ca="1">F7/B7</f>
        <v>14767.184466019418</v>
      </c>
      <c r="E7" s="160">
        <f ca="1">962526+(DATEDIF(DATE(2025,11,1), TODAY(), "m")*15515)</f>
        <v>1040101</v>
      </c>
      <c r="F7" s="160">
        <v>1521020</v>
      </c>
      <c r="G7" s="160">
        <f t="shared" ca="1" si="2"/>
        <v>480919</v>
      </c>
      <c r="H7" s="161">
        <f t="shared" ca="1" si="1"/>
        <v>46</v>
      </c>
      <c r="I7" s="160"/>
      <c r="J7" s="160" t="str">
        <f>_xlfn.IFNA(VLOOKUP(A7,AllocationTable[TRADE],1,0),"Not Invested")</f>
        <v>NPS</v>
      </c>
    </row>
    <row r="8" spans="1:10" x14ac:dyDescent="0.25">
      <c r="A8" s="162"/>
      <c r="B8" s="163"/>
      <c r="C8" s="163"/>
      <c r="D8" s="163"/>
      <c r="E8" s="163"/>
      <c r="F8" s="163"/>
      <c r="G8" s="163"/>
      <c r="H8" s="163"/>
      <c r="I8" s="163"/>
      <c r="J8" s="163"/>
    </row>
    <row r="9" spans="1:10" x14ac:dyDescent="0.25">
      <c r="A9" s="159" t="s">
        <v>213</v>
      </c>
      <c r="B9" s="160">
        <v>5.5</v>
      </c>
      <c r="C9" s="160">
        <v>9500</v>
      </c>
      <c r="D9" s="160">
        <v>14010</v>
      </c>
      <c r="E9" s="160">
        <f>B9*C9</f>
        <v>52250</v>
      </c>
      <c r="F9" s="160">
        <f>B9*D9</f>
        <v>77055</v>
      </c>
      <c r="G9" s="160">
        <f>F9-E9</f>
        <v>24805</v>
      </c>
      <c r="H9" s="161">
        <f t="shared" ref="H9" si="3">ROUND(G9/E9*100,0)</f>
        <v>47</v>
      </c>
      <c r="I9" s="160"/>
      <c r="J9" s="160" t="str">
        <f>_xlfn.IFNA(VLOOKUP(A9,AllocationTable[TRADE],1,0),"Not Invested")</f>
        <v>Physical Gold</v>
      </c>
    </row>
    <row r="10" spans="1:10" x14ac:dyDescent="0.25">
      <c r="A10" s="159" t="s">
        <v>35</v>
      </c>
      <c r="B10" s="160">
        <v>36</v>
      </c>
      <c r="C10" s="160">
        <v>5555</v>
      </c>
      <c r="D10" s="160">
        <v>15285</v>
      </c>
      <c r="E10" s="160">
        <f>B10*C10</f>
        <v>199980</v>
      </c>
      <c r="F10" s="160">
        <f>B10*D10</f>
        <v>550260</v>
      </c>
      <c r="G10" s="160">
        <f>F10-E10</f>
        <v>350280</v>
      </c>
      <c r="H10" s="161">
        <f t="shared" ref="H10" si="4">ROUND(G10/E10*100,0)</f>
        <v>175</v>
      </c>
      <c r="I10" s="160"/>
      <c r="J10" s="160" t="str">
        <f>_xlfn.IFNA(VLOOKUP(A10,AllocationTable[TRADE],1,0),"Not Invested")</f>
        <v>SGB</v>
      </c>
    </row>
    <row r="11" spans="1:10" x14ac:dyDescent="0.25">
      <c r="A11" s="170" t="s">
        <v>214</v>
      </c>
      <c r="B11" s="170" t="s">
        <v>215</v>
      </c>
      <c r="C11" s="164" t="s">
        <v>53</v>
      </c>
      <c r="D11" s="164" t="s">
        <v>54</v>
      </c>
      <c r="E11" s="170" t="s">
        <v>216</v>
      </c>
      <c r="F11" s="170" t="s">
        <v>217</v>
      </c>
      <c r="G11" s="170" t="s">
        <v>218</v>
      </c>
      <c r="H11" s="164" t="s">
        <v>219</v>
      </c>
      <c r="I11" s="164" t="s">
        <v>220</v>
      </c>
      <c r="J11" s="164"/>
    </row>
    <row r="12" spans="1:10" x14ac:dyDescent="0.25">
      <c r="A12" s="165" t="s">
        <v>125</v>
      </c>
      <c r="B12" s="160">
        <v>62.585000000000036</v>
      </c>
      <c r="C12" s="160">
        <f t="shared" ref="C12:C25" si="5">E12/B12</f>
        <v>39.087001677718284</v>
      </c>
      <c r="D12" s="160">
        <f t="shared" ref="D12:D25" si="6">F12/B12</f>
        <v>59.160022369577341</v>
      </c>
      <c r="E12" s="160">
        <v>2446.2600000000002</v>
      </c>
      <c r="F12" s="160">
        <v>3702.53</v>
      </c>
      <c r="G12" s="161">
        <f t="shared" ref="G12:G26" si="7">ROUND(F12-E12,0)</f>
        <v>1256</v>
      </c>
      <c r="H12" s="161">
        <f t="shared" ref="H12:H26" si="8">ROUND(G12/E12*100,0)</f>
        <v>51</v>
      </c>
      <c r="I12" s="432">
        <v>0.114</v>
      </c>
      <c r="J12" s="160" t="str">
        <f>_xlfn.IFNA(VLOOKUP(A12,AllocationTable[TRADE],1,0),"Not Invested")</f>
        <v>Aditya Birla Sun Life ELSS Tax Saver Growth</v>
      </c>
    </row>
    <row r="13" spans="1:10" x14ac:dyDescent="0.25">
      <c r="A13" s="165" t="s">
        <v>126</v>
      </c>
      <c r="B13" s="160">
        <v>303.37099999999987</v>
      </c>
      <c r="C13" s="160">
        <f t="shared" si="5"/>
        <v>75.070557172570915</v>
      </c>
      <c r="D13" s="160">
        <f t="shared" si="6"/>
        <v>104.13480523847043</v>
      </c>
      <c r="E13" s="160">
        <v>22774.23</v>
      </c>
      <c r="F13" s="160">
        <v>31591.48</v>
      </c>
      <c r="G13" s="161">
        <f t="shared" si="7"/>
        <v>8817</v>
      </c>
      <c r="H13" s="161">
        <f t="shared" si="8"/>
        <v>39</v>
      </c>
      <c r="I13" s="432">
        <v>0.1216</v>
      </c>
      <c r="J13" s="160" t="str">
        <f>_xlfn.IFNA(VLOOKUP(A13,AllocationTable[TRADE],1,0),"Not Invested")</f>
        <v>Axis ELSS Tax Saver Direct Plan Growth</v>
      </c>
    </row>
    <row r="14" spans="1:10" x14ac:dyDescent="0.25">
      <c r="A14" s="165" t="s">
        <v>127</v>
      </c>
      <c r="B14" s="160">
        <v>1735.395</v>
      </c>
      <c r="C14" s="160">
        <f t="shared" si="5"/>
        <v>93.585396984548197</v>
      </c>
      <c r="D14" s="160">
        <f t="shared" si="6"/>
        <v>116.95000273712903</v>
      </c>
      <c r="E14" s="160">
        <v>162407.63</v>
      </c>
      <c r="F14" s="160">
        <v>202954.45</v>
      </c>
      <c r="G14" s="161">
        <f t="shared" si="7"/>
        <v>40547</v>
      </c>
      <c r="H14" s="161">
        <f t="shared" si="8"/>
        <v>25</v>
      </c>
      <c r="I14" s="432">
        <v>0.1017</v>
      </c>
      <c r="J14" s="160" t="str">
        <f>_xlfn.IFNA(VLOOKUP(A14,AllocationTable[TRADE],1,0),"Not Invested")</f>
        <v>Axis Small Cap Fund Direct Growth</v>
      </c>
    </row>
    <row r="15" spans="1:10" x14ac:dyDescent="0.25">
      <c r="A15" s="165" t="s">
        <v>258</v>
      </c>
      <c r="B15" s="160">
        <v>340.52100000000002</v>
      </c>
      <c r="C15" s="160">
        <f t="shared" si="5"/>
        <v>32.301708264688521</v>
      </c>
      <c r="D15" s="160">
        <f t="shared" si="6"/>
        <v>32.786994047356842</v>
      </c>
      <c r="E15" s="160">
        <v>10999.41</v>
      </c>
      <c r="F15" s="160">
        <v>11164.66</v>
      </c>
      <c r="G15" s="161">
        <f t="shared" si="7"/>
        <v>165</v>
      </c>
      <c r="H15" s="161">
        <f t="shared" si="8"/>
        <v>2</v>
      </c>
      <c r="I15" s="432">
        <v>0.12720000000000001</v>
      </c>
      <c r="J15" s="160" t="str">
        <f>_xlfn.IFNA(VLOOKUP(A15,AllocationTable[TRADE],1,0),"Not Invested")</f>
        <v>Edelweiss US Technology Equity FoF Direct Growth</v>
      </c>
    </row>
    <row r="16" spans="1:10" x14ac:dyDescent="0.25">
      <c r="A16" s="165" t="s">
        <v>128</v>
      </c>
      <c r="B16" s="160">
        <v>282.19</v>
      </c>
      <c r="C16" s="160">
        <f t="shared" si="5"/>
        <v>507.08827385803886</v>
      </c>
      <c r="D16" s="160">
        <f t="shared" si="6"/>
        <v>737.27860661256602</v>
      </c>
      <c r="E16" s="160">
        <v>143095.24</v>
      </c>
      <c r="F16" s="160">
        <v>208052.65</v>
      </c>
      <c r="G16" s="161">
        <f t="shared" si="7"/>
        <v>64957</v>
      </c>
      <c r="H16" s="161">
        <f t="shared" si="8"/>
        <v>45</v>
      </c>
      <c r="I16" s="432">
        <v>-0.13400000000000001</v>
      </c>
      <c r="J16" s="160" t="str">
        <f>_xlfn.IFNA(VLOOKUP(A16,AllocationTable[TRADE],1,0),"Not Invested")</f>
        <v>HDFC BSE Sensex Index Fund Direct Growth</v>
      </c>
    </row>
    <row r="17" spans="1:17" x14ac:dyDescent="0.25">
      <c r="A17" s="165" t="s">
        <v>325</v>
      </c>
      <c r="B17" s="160">
        <v>102.803</v>
      </c>
      <c r="C17" s="160">
        <f t="shared" si="5"/>
        <v>442.56957481785554</v>
      </c>
      <c r="D17" s="160">
        <f t="shared" si="6"/>
        <v>443.0299699425114</v>
      </c>
      <c r="E17" s="160">
        <v>45497.48</v>
      </c>
      <c r="F17" s="160">
        <v>45544.81</v>
      </c>
      <c r="G17" s="161">
        <f t="shared" si="7"/>
        <v>47</v>
      </c>
      <c r="H17" s="161">
        <f t="shared" si="8"/>
        <v>0</v>
      </c>
      <c r="I17" s="432">
        <v>9.9000000000000008E-3</v>
      </c>
      <c r="J17" s="160" t="str">
        <f>_xlfn.IFNA(VLOOKUP(A17,AllocationTable[TRADE],1,0),"Not Invested")</f>
        <v>ICICI Prudential Equity &amp; Debt Fund Direct Growth</v>
      </c>
    </row>
    <row r="18" spans="1:17" x14ac:dyDescent="0.25">
      <c r="A18" s="165" t="s">
        <v>129</v>
      </c>
      <c r="B18" s="160">
        <v>444.28400000000011</v>
      </c>
      <c r="C18" s="160">
        <f t="shared" ref="C18" si="9">E18/B18</f>
        <v>184.69071584842123</v>
      </c>
      <c r="D18" s="160">
        <f t="shared" ref="D18" si="10">F18/B18</f>
        <v>192.50999360769234</v>
      </c>
      <c r="E18" s="160">
        <v>82055.13</v>
      </c>
      <c r="F18" s="160">
        <v>85529.11</v>
      </c>
      <c r="G18" s="161">
        <f t="shared" ref="G18" si="11">ROUND(F18-E18,0)</f>
        <v>3474</v>
      </c>
      <c r="H18" s="161">
        <f t="shared" ref="H18" si="12">ROUND(G18/E18*100,0)</f>
        <v>4</v>
      </c>
      <c r="I18" s="432">
        <v>2.3300000000000001E-2</v>
      </c>
      <c r="J18" s="160" t="str">
        <f>_xlfn.IFNA(VLOOKUP(A18,AllocationTable[TRADE],1,0),"Not Invested")</f>
        <v>ICICI Prudential Technology Direct Plan Growth</v>
      </c>
    </row>
    <row r="19" spans="1:17" x14ac:dyDescent="0.25">
      <c r="A19" s="165" t="s">
        <v>130</v>
      </c>
      <c r="B19" s="160">
        <v>2326.5459999999998</v>
      </c>
      <c r="C19" s="160">
        <f t="shared" si="5"/>
        <v>9.9209256984388006</v>
      </c>
      <c r="D19" s="160">
        <f t="shared" si="6"/>
        <v>9.6600024241944933</v>
      </c>
      <c r="E19" s="160">
        <v>23081.489999999998</v>
      </c>
      <c r="F19" s="160">
        <v>22474.44</v>
      </c>
      <c r="G19" s="161">
        <f t="shared" si="7"/>
        <v>-607</v>
      </c>
      <c r="H19" s="161">
        <f t="shared" si="8"/>
        <v>-3</v>
      </c>
      <c r="I19" s="432">
        <v>-0.1784</v>
      </c>
      <c r="J19" s="160" t="str">
        <f>_xlfn.IFNA(VLOOKUP(A19,AllocationTable[TRADE],1,0),"Not Invested")</f>
        <v>JioBlackRock Flexi Cap Fund Direct Growth</v>
      </c>
      <c r="Q19" s="2">
        <f>26348/D22</f>
        <v>47.239718912497828</v>
      </c>
    </row>
    <row r="20" spans="1:17" x14ac:dyDescent="0.25">
      <c r="A20" s="165" t="s">
        <v>131</v>
      </c>
      <c r="B20" s="160">
        <v>1716.2729999999995</v>
      </c>
      <c r="C20" s="160">
        <f t="shared" si="5"/>
        <v>126.37194665417452</v>
      </c>
      <c r="D20" s="160">
        <f t="shared" si="6"/>
        <v>167.46699971391502</v>
      </c>
      <c r="E20" s="160">
        <v>216888.76</v>
      </c>
      <c r="F20" s="160">
        <v>287419.08999999997</v>
      </c>
      <c r="G20" s="161">
        <f t="shared" si="7"/>
        <v>70530</v>
      </c>
      <c r="H20" s="161">
        <f t="shared" si="8"/>
        <v>33</v>
      </c>
      <c r="I20" s="432">
        <v>-1.6100000000000003E-2</v>
      </c>
      <c r="J20" s="160" t="str">
        <f>_xlfn.IFNA(VLOOKUP(A20,AllocationTable[TRADE],1,0),"Not Invested")</f>
        <v>Mirae Asset Large &amp; Midcap Fund Direct Growth</v>
      </c>
    </row>
    <row r="21" spans="1:17" x14ac:dyDescent="0.25">
      <c r="A21" s="165" t="s">
        <v>132</v>
      </c>
      <c r="B21" s="160">
        <v>9197.7639999999992</v>
      </c>
      <c r="C21" s="160">
        <f t="shared" si="5"/>
        <v>10.273830683196483</v>
      </c>
      <c r="D21" s="160">
        <f t="shared" si="6"/>
        <v>10.886399129179658</v>
      </c>
      <c r="E21" s="160">
        <v>94496.27</v>
      </c>
      <c r="F21" s="160">
        <v>100130.53</v>
      </c>
      <c r="G21" s="161">
        <f t="shared" si="7"/>
        <v>5634</v>
      </c>
      <c r="H21" s="161">
        <f t="shared" si="8"/>
        <v>6</v>
      </c>
      <c r="I21" s="432">
        <v>0.45650000000000002</v>
      </c>
      <c r="J21" s="160" t="str">
        <f>_xlfn.IFNA(VLOOKUP(A21,AllocationTable[TRADE],1,0),"Not Invested")</f>
        <v>Motilal Oswal Nifty India Defence Index Fund Direct Growth</v>
      </c>
    </row>
    <row r="22" spans="1:17" x14ac:dyDescent="0.25">
      <c r="A22" s="165" t="s">
        <v>133</v>
      </c>
      <c r="B22" s="160">
        <v>154.01000000000002</v>
      </c>
      <c r="C22" s="160">
        <f t="shared" si="5"/>
        <v>435.23349133173161</v>
      </c>
      <c r="D22" s="160">
        <f t="shared" si="6"/>
        <v>557.75099019544177</v>
      </c>
      <c r="E22" s="160">
        <v>67030.31</v>
      </c>
      <c r="F22" s="160">
        <v>85899.23</v>
      </c>
      <c r="G22" s="161">
        <f t="shared" si="7"/>
        <v>18869</v>
      </c>
      <c r="H22" s="161">
        <f t="shared" si="8"/>
        <v>28</v>
      </c>
      <c r="I22" s="432">
        <v>0.121</v>
      </c>
      <c r="J22" s="160" t="str">
        <f>_xlfn.IFNA(VLOOKUP(A22,AllocationTable[TRADE],1,0),"Not Invested")</f>
        <v>Nippon India Pharma Fund Direct Growth</v>
      </c>
    </row>
    <row r="23" spans="1:17" x14ac:dyDescent="0.25">
      <c r="A23" s="165" t="s">
        <v>134</v>
      </c>
      <c r="B23" s="160">
        <v>1709.3360000000005</v>
      </c>
      <c r="C23" s="160">
        <f t="shared" si="5"/>
        <v>66.351203040244854</v>
      </c>
      <c r="D23" s="160">
        <f t="shared" si="6"/>
        <v>90.442499309673437</v>
      </c>
      <c r="E23" s="160">
        <v>113416.5</v>
      </c>
      <c r="F23" s="160">
        <v>154596.62</v>
      </c>
      <c r="G23" s="161">
        <f t="shared" si="7"/>
        <v>41180</v>
      </c>
      <c r="H23" s="161">
        <f t="shared" si="8"/>
        <v>36</v>
      </c>
      <c r="I23" s="432">
        <v>0.14779999999999999</v>
      </c>
      <c r="J23" s="160" t="str">
        <f>_xlfn.IFNA(VLOOKUP(A23,AllocationTable[TRADE],1,0),"Not Invested")</f>
        <v>Parag Parikh Flexi Cap Fund Direct Growth</v>
      </c>
    </row>
    <row r="24" spans="1:17" x14ac:dyDescent="0.25">
      <c r="A24" s="165" t="s">
        <v>136</v>
      </c>
      <c r="B24" s="160">
        <v>227.51500000000001</v>
      </c>
      <c r="C24" s="160">
        <f t="shared" si="5"/>
        <v>178.00004395314593</v>
      </c>
      <c r="D24" s="160">
        <f t="shared" si="6"/>
        <v>264.30099114344108</v>
      </c>
      <c r="E24" s="160">
        <v>40497.68</v>
      </c>
      <c r="F24" s="160">
        <v>60132.44</v>
      </c>
      <c r="G24" s="161">
        <f t="shared" si="7"/>
        <v>19635</v>
      </c>
      <c r="H24" s="161">
        <f t="shared" si="8"/>
        <v>48</v>
      </c>
      <c r="I24" s="432">
        <v>5.5500000000000008E-2</v>
      </c>
      <c r="J24" s="160" t="str">
        <f>_xlfn.IFNA(VLOOKUP(A24,AllocationTable[TRADE],1,0),"Not Invested")</f>
        <v>Quant Small Cap Fund Direct Plan Growth</v>
      </c>
    </row>
    <row r="25" spans="1:17" x14ac:dyDescent="0.25">
      <c r="A25" s="165" t="s">
        <v>137</v>
      </c>
      <c r="B25" s="160">
        <v>1578.692</v>
      </c>
      <c r="C25" s="160">
        <f t="shared" si="5"/>
        <v>31.03681402072095</v>
      </c>
      <c r="D25" s="160">
        <f t="shared" si="6"/>
        <v>45.618999779564341</v>
      </c>
      <c r="E25" s="160">
        <v>48997.57</v>
      </c>
      <c r="F25" s="160">
        <v>72018.349999999991</v>
      </c>
      <c r="G25" s="161">
        <f t="shared" si="7"/>
        <v>23021</v>
      </c>
      <c r="H25" s="161">
        <f t="shared" si="8"/>
        <v>47</v>
      </c>
      <c r="I25" s="432">
        <v>1.0899999999999999</v>
      </c>
      <c r="J25" s="160" t="str">
        <f>_xlfn.IFNA(VLOOKUP(A25,AllocationTable[TRADE],1,0),"Not Invested")</f>
        <v>SBI Gold Direct Plan Growth</v>
      </c>
    </row>
    <row r="26" spans="1:17" x14ac:dyDescent="0.25">
      <c r="A26" s="165" t="s">
        <v>212</v>
      </c>
      <c r="B26" s="160">
        <v>278</v>
      </c>
      <c r="C26" s="160">
        <f t="shared" ref="C26" si="13">E26/B26</f>
        <v>35.97122302158273</v>
      </c>
      <c r="D26" s="160">
        <f>D23</f>
        <v>90.442499309673437</v>
      </c>
      <c r="E26" s="160">
        <v>10000</v>
      </c>
      <c r="F26" s="160">
        <f>B26*D26</f>
        <v>25143.014808089214</v>
      </c>
      <c r="G26" s="161">
        <f t="shared" si="7"/>
        <v>15143</v>
      </c>
      <c r="H26" s="161">
        <f t="shared" si="8"/>
        <v>151</v>
      </c>
      <c r="I26" s="160">
        <v>163.5</v>
      </c>
      <c r="J26" s="160" t="str">
        <f>_xlfn.IFNA(VLOOKUP(A26,AllocationTable[TRADE],1,0),"Not Invested")</f>
        <v>Parag Parikh Flexi Cap Fund Direct Growth-Self</v>
      </c>
    </row>
    <row r="27" spans="1:17" x14ac:dyDescent="0.25">
      <c r="A27" s="166" t="s">
        <v>51</v>
      </c>
      <c r="B27" s="167" t="s">
        <v>52</v>
      </c>
      <c r="C27" s="167" t="s">
        <v>53</v>
      </c>
      <c r="D27" s="167" t="s">
        <v>54</v>
      </c>
      <c r="E27" s="167" t="s">
        <v>44</v>
      </c>
      <c r="F27" s="167" t="s">
        <v>55</v>
      </c>
      <c r="G27" s="168" t="s">
        <v>45</v>
      </c>
      <c r="H27" s="168" t="s">
        <v>56</v>
      </c>
      <c r="I27" s="167" t="s">
        <v>57</v>
      </c>
      <c r="J27" s="167"/>
    </row>
    <row r="28" spans="1:17" x14ac:dyDescent="0.25">
      <c r="A28" s="169" t="s">
        <v>356</v>
      </c>
      <c r="B28" s="169">
        <v>5</v>
      </c>
      <c r="C28" s="169">
        <v>850</v>
      </c>
      <c r="D28" s="169">
        <v>1085.3499999999999</v>
      </c>
      <c r="E28" s="169">
        <v>4250</v>
      </c>
      <c r="F28" s="169">
        <v>5426.75</v>
      </c>
      <c r="G28" s="169">
        <v>1176.75</v>
      </c>
      <c r="H28" s="169">
        <v>27.69</v>
      </c>
      <c r="I28" s="169">
        <v>0</v>
      </c>
      <c r="J28" s="160" t="str">
        <f>_xlfn.IFNA(VLOOKUP(A28,AllocationTable[TRADE],1,0),"Not Invested")</f>
        <v>ADANIGREEN</v>
      </c>
    </row>
    <row r="29" spans="1:17" x14ac:dyDescent="0.25">
      <c r="A29" s="169" t="s">
        <v>59</v>
      </c>
      <c r="B29" s="169">
        <v>100</v>
      </c>
      <c r="C29" s="169">
        <v>185.9</v>
      </c>
      <c r="D29" s="169">
        <v>190.1</v>
      </c>
      <c r="E29" s="169">
        <v>18590</v>
      </c>
      <c r="F29" s="169">
        <v>19010</v>
      </c>
      <c r="G29" s="169">
        <v>420</v>
      </c>
      <c r="H29" s="169">
        <v>2.2599999999999998</v>
      </c>
      <c r="I29" s="169">
        <v>0</v>
      </c>
      <c r="J29" s="160" t="str">
        <f>_xlfn.IFNA(VLOOKUP(A29,AllocationTable[TRADE],1,0),"Not Invested")</f>
        <v>AEGISVOPAK</v>
      </c>
    </row>
    <row r="30" spans="1:17" x14ac:dyDescent="0.25">
      <c r="A30" s="169" t="s">
        <v>60</v>
      </c>
      <c r="B30" s="169">
        <v>10</v>
      </c>
      <c r="C30" s="169">
        <v>1346.14</v>
      </c>
      <c r="D30" s="169">
        <v>1401.6</v>
      </c>
      <c r="E30" s="169">
        <v>13461.4</v>
      </c>
      <c r="F30" s="169">
        <v>14016</v>
      </c>
      <c r="G30" s="169">
        <v>554.6</v>
      </c>
      <c r="H30" s="169">
        <v>4.12</v>
      </c>
      <c r="I30" s="169">
        <v>0</v>
      </c>
      <c r="J30" s="160" t="str">
        <f>_xlfn.IFNA(VLOOKUP(A30,AllocationTable[TRADE],1,0),"Not Invested")</f>
        <v>AFFLE</v>
      </c>
    </row>
    <row r="31" spans="1:17" x14ac:dyDescent="0.25">
      <c r="A31" s="169" t="s">
        <v>61</v>
      </c>
      <c r="B31" s="169">
        <v>35</v>
      </c>
      <c r="C31" s="169">
        <v>485.28</v>
      </c>
      <c r="D31" s="169">
        <v>470.45</v>
      </c>
      <c r="E31" s="169">
        <v>16984.8</v>
      </c>
      <c r="F31" s="169">
        <v>16465.75</v>
      </c>
      <c r="G31" s="169">
        <v>-519.04999999999995</v>
      </c>
      <c r="H31" s="169">
        <v>-3.06</v>
      </c>
      <c r="I31" s="169">
        <v>0</v>
      </c>
      <c r="J31" s="160" t="str">
        <f>_xlfn.IFNA(VLOOKUP(A31,AllocationTable[TRADE],1,0),"Not Invested")</f>
        <v>AJAXENGG</v>
      </c>
    </row>
    <row r="32" spans="1:17" x14ac:dyDescent="0.25">
      <c r="A32" s="169" t="s">
        <v>62</v>
      </c>
      <c r="B32" s="169">
        <v>255</v>
      </c>
      <c r="C32" s="169">
        <v>117.26</v>
      </c>
      <c r="D32" s="169">
        <v>178.02</v>
      </c>
      <c r="E32" s="169">
        <v>29901.3</v>
      </c>
      <c r="F32" s="169">
        <v>45395.1</v>
      </c>
      <c r="G32" s="169">
        <v>15493.8</v>
      </c>
      <c r="H32" s="169">
        <v>51.82</v>
      </c>
      <c r="I32" s="169">
        <v>0</v>
      </c>
      <c r="J32" s="160" t="str">
        <f>_xlfn.IFNA(VLOOKUP(A32,AllocationTable[TRADE],1,0),"Not Invested")</f>
        <v>ASHOKLEY</v>
      </c>
    </row>
    <row r="33" spans="1:10" x14ac:dyDescent="0.25">
      <c r="A33" s="169" t="s">
        <v>63</v>
      </c>
      <c r="B33" s="169">
        <v>1</v>
      </c>
      <c r="C33" s="169">
        <v>725</v>
      </c>
      <c r="D33" s="169">
        <v>863.45</v>
      </c>
      <c r="E33" s="169">
        <v>725</v>
      </c>
      <c r="F33" s="169">
        <v>863.45</v>
      </c>
      <c r="G33" s="169">
        <v>138.44999999999999</v>
      </c>
      <c r="H33" s="169">
        <v>19.100000000000001</v>
      </c>
      <c r="I33" s="169">
        <v>0</v>
      </c>
      <c r="J33" s="160" t="str">
        <f>_xlfn.IFNA(VLOOKUP(A33,AllocationTable[TRADE],1,0),"Not Invested")</f>
        <v>ATHERENERG</v>
      </c>
    </row>
    <row r="34" spans="1:10" x14ac:dyDescent="0.25">
      <c r="A34" s="169" t="s">
        <v>65</v>
      </c>
      <c r="B34" s="169">
        <v>10</v>
      </c>
      <c r="C34" s="169">
        <v>1315</v>
      </c>
      <c r="D34" s="169">
        <v>1351.45</v>
      </c>
      <c r="E34" s="169">
        <v>13150</v>
      </c>
      <c r="F34" s="169">
        <v>13514.5</v>
      </c>
      <c r="G34" s="169">
        <v>364.5</v>
      </c>
      <c r="H34" s="169">
        <v>2.77</v>
      </c>
      <c r="I34" s="169">
        <v>0</v>
      </c>
      <c r="J34" s="160" t="str">
        <f>_xlfn.IFNA(VLOOKUP(A34,AllocationTable[TRADE],1,0),"Not Invested")</f>
        <v>AXISBANK</v>
      </c>
    </row>
    <row r="35" spans="1:10" x14ac:dyDescent="0.25">
      <c r="A35" s="169" t="s">
        <v>66</v>
      </c>
      <c r="B35" s="169">
        <v>200</v>
      </c>
      <c r="C35" s="169">
        <v>82.96</v>
      </c>
      <c r="D35" s="169">
        <v>85.94</v>
      </c>
      <c r="E35" s="169">
        <v>16592</v>
      </c>
      <c r="F35" s="169">
        <v>17188</v>
      </c>
      <c r="G35" s="169">
        <v>596</v>
      </c>
      <c r="H35" s="169">
        <v>3.59</v>
      </c>
      <c r="I35" s="169">
        <v>0</v>
      </c>
      <c r="J35" s="160" t="str">
        <f>_xlfn.IFNA(VLOOKUP(A35,AllocationTable[TRADE],1,0),"Not Invested")</f>
        <v>BAJAJHFL</v>
      </c>
    </row>
    <row r="36" spans="1:10" x14ac:dyDescent="0.25">
      <c r="A36" s="169" t="s">
        <v>68</v>
      </c>
      <c r="B36" s="169">
        <v>200</v>
      </c>
      <c r="C36" s="169">
        <v>161.04</v>
      </c>
      <c r="D36" s="169">
        <v>206.25</v>
      </c>
      <c r="E36" s="169">
        <v>32208.06</v>
      </c>
      <c r="F36" s="169">
        <v>41250</v>
      </c>
      <c r="G36" s="169">
        <v>9041.94</v>
      </c>
      <c r="H36" s="169">
        <v>28.07</v>
      </c>
      <c r="I36" s="169">
        <v>0</v>
      </c>
      <c r="J36" s="160" t="str">
        <f>_xlfn.IFNA(VLOOKUP(A36,AllocationTable[TRADE],1,0),"Not Invested")</f>
        <v>BELRISE</v>
      </c>
    </row>
    <row r="37" spans="1:10" x14ac:dyDescent="0.25">
      <c r="A37" s="169" t="s">
        <v>346</v>
      </c>
      <c r="B37" s="169">
        <v>6</v>
      </c>
      <c r="C37" s="169">
        <v>1827.58</v>
      </c>
      <c r="D37" s="169">
        <v>1798.8</v>
      </c>
      <c r="E37" s="169">
        <v>10965.5</v>
      </c>
      <c r="F37" s="169">
        <v>10792.8</v>
      </c>
      <c r="G37" s="169">
        <v>-172.7</v>
      </c>
      <c r="H37" s="169">
        <v>-1.57</v>
      </c>
      <c r="I37" s="169">
        <v>0</v>
      </c>
      <c r="J37" s="160" t="str">
        <f>_xlfn.IFNA(VLOOKUP(A37,AllocationTable[TRADE],1,0),"Not Invested")</f>
        <v>BHARATFORG</v>
      </c>
    </row>
    <row r="38" spans="1:10" x14ac:dyDescent="0.25">
      <c r="A38" s="169" t="s">
        <v>69</v>
      </c>
      <c r="B38" s="169">
        <v>25</v>
      </c>
      <c r="C38" s="169">
        <v>1901.42</v>
      </c>
      <c r="D38" s="169">
        <v>1870</v>
      </c>
      <c r="E38" s="169">
        <v>47535.5</v>
      </c>
      <c r="F38" s="169">
        <v>46750</v>
      </c>
      <c r="G38" s="169">
        <v>-785.5</v>
      </c>
      <c r="H38" s="169">
        <v>-1.65</v>
      </c>
      <c r="I38" s="169">
        <v>0</v>
      </c>
      <c r="J38" s="160" t="str">
        <f>_xlfn.IFNA(VLOOKUP(A38,AllocationTable[TRADE],1,0),"Not Invested")</f>
        <v>BHARTIARTL</v>
      </c>
    </row>
    <row r="39" spans="1:10" x14ac:dyDescent="0.25">
      <c r="A39" s="169" t="s">
        <v>347</v>
      </c>
      <c r="B39" s="169">
        <v>100</v>
      </c>
      <c r="C39" s="169">
        <v>255.3</v>
      </c>
      <c r="D39" s="169">
        <v>284.70999999999998</v>
      </c>
      <c r="E39" s="169">
        <v>25530</v>
      </c>
      <c r="F39" s="169">
        <v>28471</v>
      </c>
      <c r="G39" s="169">
        <v>2941</v>
      </c>
      <c r="H39" s="169">
        <v>11.52</v>
      </c>
      <c r="I39" s="169">
        <v>0</v>
      </c>
      <c r="J39" s="160" t="str">
        <f>_xlfn.IFNA(VLOOKUP(A39,AllocationTable[TRADE],1,0),"Not Invested")</f>
        <v>BHEL</v>
      </c>
    </row>
    <row r="40" spans="1:10" x14ac:dyDescent="0.25">
      <c r="A40" s="169" t="s">
        <v>70</v>
      </c>
      <c r="B40" s="169">
        <v>15</v>
      </c>
      <c r="C40" s="169">
        <v>2762.57</v>
      </c>
      <c r="D40" s="169">
        <v>3281.2</v>
      </c>
      <c r="E40" s="169">
        <v>41438.5</v>
      </c>
      <c r="F40" s="169">
        <v>49218</v>
      </c>
      <c r="G40" s="169">
        <v>7779.5</v>
      </c>
      <c r="H40" s="169">
        <v>18.77</v>
      </c>
      <c r="I40" s="169">
        <v>0</v>
      </c>
      <c r="J40" s="160" t="str">
        <f>_xlfn.IFNA(VLOOKUP(A40,AllocationTable[TRADE],1,0),"Not Invested")</f>
        <v>BSE</v>
      </c>
    </row>
    <row r="41" spans="1:10" x14ac:dyDescent="0.25">
      <c r="A41" s="169" t="s">
        <v>71</v>
      </c>
      <c r="B41" s="169">
        <v>50</v>
      </c>
      <c r="C41" s="169">
        <v>639.45000000000005</v>
      </c>
      <c r="D41" s="169">
        <v>715.9</v>
      </c>
      <c r="E41" s="169">
        <v>31972.5</v>
      </c>
      <c r="F41" s="169">
        <v>35795</v>
      </c>
      <c r="G41" s="169">
        <v>3822.5</v>
      </c>
      <c r="H41" s="169">
        <v>11.96</v>
      </c>
      <c r="I41" s="169">
        <v>0</v>
      </c>
      <c r="J41" s="160" t="str">
        <f>_xlfn.IFNA(VLOOKUP(A41,AllocationTable[TRADE],1,0),"Not Invested")</f>
        <v>CAMS</v>
      </c>
    </row>
    <row r="42" spans="1:10" x14ac:dyDescent="0.25">
      <c r="A42" s="169" t="s">
        <v>72</v>
      </c>
      <c r="B42" s="169">
        <v>45</v>
      </c>
      <c r="C42" s="169">
        <v>1219.05</v>
      </c>
      <c r="D42" s="169">
        <v>1303.4000000000001</v>
      </c>
      <c r="E42" s="169">
        <v>54857.35</v>
      </c>
      <c r="F42" s="169">
        <v>58653</v>
      </c>
      <c r="G42" s="169">
        <v>3795.65</v>
      </c>
      <c r="H42" s="169">
        <v>6.92</v>
      </c>
      <c r="I42" s="169">
        <v>0</v>
      </c>
      <c r="J42" s="160" t="str">
        <f>_xlfn.IFNA(VLOOKUP(A42,AllocationTable[TRADE],1,0),"Not Invested")</f>
        <v>CDSL</v>
      </c>
    </row>
    <row r="43" spans="1:10" x14ac:dyDescent="0.25">
      <c r="A43" s="169" t="s">
        <v>73</v>
      </c>
      <c r="B43" s="169">
        <v>16</v>
      </c>
      <c r="C43" s="169">
        <v>1194.03</v>
      </c>
      <c r="D43" s="169">
        <v>1061.9000000000001</v>
      </c>
      <c r="E43" s="169">
        <v>19104.400000000001</v>
      </c>
      <c r="F43" s="169">
        <v>16990.400000000001</v>
      </c>
      <c r="G43" s="169">
        <v>-2114</v>
      </c>
      <c r="H43" s="169">
        <v>-11.07</v>
      </c>
      <c r="I43" s="169">
        <v>0</v>
      </c>
      <c r="J43" s="160" t="str">
        <f>_xlfn.IFNA(VLOOKUP(A43,AllocationTable[TRADE],1,0),"Not Invested")</f>
        <v>CONCORDBIO</v>
      </c>
    </row>
    <row r="44" spans="1:10" x14ac:dyDescent="0.25">
      <c r="A44" s="169" t="s">
        <v>327</v>
      </c>
      <c r="B44" s="169">
        <v>3</v>
      </c>
      <c r="C44" s="169">
        <v>7086.67</v>
      </c>
      <c r="D44" s="169">
        <v>7430</v>
      </c>
      <c r="E44" s="169">
        <v>21260</v>
      </c>
      <c r="F44" s="169">
        <v>22290</v>
      </c>
      <c r="G44" s="169">
        <v>1030</v>
      </c>
      <c r="H44" s="169">
        <v>4.84</v>
      </c>
      <c r="I44" s="169">
        <v>0</v>
      </c>
      <c r="J44" s="160" t="str">
        <f>_xlfn.IFNA(VLOOKUP(A44,AllocationTable[TRADE],1,0),"Not Invested")</f>
        <v>CRAFTSMAN</v>
      </c>
    </row>
    <row r="45" spans="1:10" x14ac:dyDescent="0.25">
      <c r="A45" s="169" t="s">
        <v>74</v>
      </c>
      <c r="B45" s="169">
        <v>9</v>
      </c>
      <c r="C45" s="169">
        <v>3533.24</v>
      </c>
      <c r="D45" s="169">
        <v>5138.7</v>
      </c>
      <c r="E45" s="169">
        <v>31799.200000000001</v>
      </c>
      <c r="F45" s="169">
        <v>46248.3</v>
      </c>
      <c r="G45" s="169">
        <v>14449.1</v>
      </c>
      <c r="H45" s="169">
        <v>45.44</v>
      </c>
      <c r="I45" s="169">
        <v>0</v>
      </c>
      <c r="J45" s="160" t="str">
        <f>_xlfn.IFNA(VLOOKUP(A45,AllocationTable[TRADE],1,0),"Not Invested")</f>
        <v>CUMMINSIND</v>
      </c>
    </row>
    <row r="46" spans="1:10" x14ac:dyDescent="0.25">
      <c r="A46" s="169" t="s">
        <v>76</v>
      </c>
      <c r="B46" s="169">
        <v>9</v>
      </c>
      <c r="C46" s="169">
        <v>5521.97</v>
      </c>
      <c r="D46" s="169">
        <v>6119.5</v>
      </c>
      <c r="E46" s="169">
        <v>49697.75</v>
      </c>
      <c r="F46" s="169">
        <v>55075.5</v>
      </c>
      <c r="G46" s="169">
        <v>5377.75</v>
      </c>
      <c r="H46" s="169">
        <v>10.82</v>
      </c>
      <c r="I46" s="169">
        <v>0</v>
      </c>
      <c r="J46" s="160" t="str">
        <f>_xlfn.IFNA(VLOOKUP(A46,AllocationTable[TRADE],1,0),"Not Invested")</f>
        <v>DIVISLAB</v>
      </c>
    </row>
    <row r="47" spans="1:10" x14ac:dyDescent="0.25">
      <c r="A47" s="169" t="s">
        <v>77</v>
      </c>
      <c r="B47" s="169">
        <v>50</v>
      </c>
      <c r="C47" s="169">
        <v>369.7</v>
      </c>
      <c r="D47" s="169">
        <v>425.8</v>
      </c>
      <c r="E47" s="169">
        <v>18484.8</v>
      </c>
      <c r="F47" s="169">
        <v>21290</v>
      </c>
      <c r="G47" s="169">
        <v>2805.2</v>
      </c>
      <c r="H47" s="169">
        <v>15.18</v>
      </c>
      <c r="I47" s="169">
        <v>0</v>
      </c>
      <c r="J47" s="160" t="str">
        <f>_xlfn.IFNA(VLOOKUP(A47,AllocationTable[TRADE],1,0),"Not Invested")</f>
        <v>DLINKINDIA</v>
      </c>
    </row>
    <row r="48" spans="1:10" x14ac:dyDescent="0.25">
      <c r="A48" s="169" t="s">
        <v>357</v>
      </c>
      <c r="B48" s="169">
        <v>1</v>
      </c>
      <c r="C48" s="169">
        <v>7410</v>
      </c>
      <c r="D48" s="169">
        <v>7424</v>
      </c>
      <c r="E48" s="169">
        <v>7410</v>
      </c>
      <c r="F48" s="169">
        <v>7424</v>
      </c>
      <c r="G48" s="169">
        <v>14</v>
      </c>
      <c r="H48" s="169">
        <v>0.19</v>
      </c>
      <c r="I48" s="169">
        <v>0</v>
      </c>
      <c r="J48" s="160" t="str">
        <f>_xlfn.IFNA(VLOOKUP(A48,AllocationTable[TRADE],1,0),"Not Invested")</f>
        <v>EICHERMOT</v>
      </c>
    </row>
    <row r="49" spans="1:10" x14ac:dyDescent="0.25">
      <c r="A49" s="169" t="s">
        <v>78</v>
      </c>
      <c r="B49" s="169">
        <v>1</v>
      </c>
      <c r="C49" s="169"/>
      <c r="D49" s="169">
        <v>240</v>
      </c>
      <c r="E49" s="169"/>
      <c r="F49" s="169"/>
      <c r="G49" s="169"/>
      <c r="H49" s="169"/>
      <c r="I49" s="169"/>
      <c r="J49" s="160"/>
    </row>
    <row r="50" spans="1:10" x14ac:dyDescent="0.25">
      <c r="A50" s="169" t="s">
        <v>79</v>
      </c>
      <c r="B50" s="169">
        <v>25</v>
      </c>
      <c r="C50" s="169">
        <v>910.09</v>
      </c>
      <c r="D50" s="169">
        <v>892.05</v>
      </c>
      <c r="E50" s="169">
        <v>22752.2</v>
      </c>
      <c r="F50" s="169">
        <v>22301.25</v>
      </c>
      <c r="G50" s="169">
        <v>-450.95</v>
      </c>
      <c r="H50" s="169">
        <v>-1.98</v>
      </c>
      <c r="I50" s="169">
        <v>0</v>
      </c>
      <c r="J50" s="160" t="str">
        <f>_xlfn.IFNA(VLOOKUP(A50,AllocationTable[TRADE],1,0),"Not Invested")</f>
        <v>GODREJIND</v>
      </c>
    </row>
    <row r="51" spans="1:10" x14ac:dyDescent="0.25">
      <c r="A51" s="169" t="s">
        <v>80</v>
      </c>
      <c r="B51" s="169">
        <v>51</v>
      </c>
      <c r="C51" s="169">
        <v>117.4</v>
      </c>
      <c r="D51" s="169">
        <v>123.55</v>
      </c>
      <c r="E51" s="169">
        <v>5987.65</v>
      </c>
      <c r="F51" s="169">
        <v>6301.05</v>
      </c>
      <c r="G51" s="169">
        <v>313.39999999999998</v>
      </c>
      <c r="H51" s="169">
        <v>5.23</v>
      </c>
      <c r="I51" s="169">
        <v>0</v>
      </c>
      <c r="J51" s="160" t="str">
        <f>_xlfn.IFNA(VLOOKUP(A51,AllocationTable[TRADE],1,0),"Not Invested")</f>
        <v>GOLDBEES</v>
      </c>
    </row>
    <row r="52" spans="1:10" x14ac:dyDescent="0.25">
      <c r="A52" s="169" t="s">
        <v>208</v>
      </c>
      <c r="B52" s="169">
        <v>100</v>
      </c>
      <c r="C52" s="169">
        <v>160.41999999999999</v>
      </c>
      <c r="D52" s="169">
        <v>193.7</v>
      </c>
      <c r="E52" s="169">
        <v>16042.1</v>
      </c>
      <c r="F52" s="169">
        <v>19370</v>
      </c>
      <c r="G52" s="169">
        <v>3327.9</v>
      </c>
      <c r="H52" s="169">
        <v>20.74</v>
      </c>
      <c r="I52" s="169">
        <v>0</v>
      </c>
      <c r="J52" s="160" t="str">
        <f>_xlfn.IFNA(VLOOKUP(A52,AllocationTable[TRADE],1,0),"Not Invested")</f>
        <v>GROWW</v>
      </c>
    </row>
    <row r="53" spans="1:10" x14ac:dyDescent="0.25">
      <c r="A53" s="169" t="s">
        <v>82</v>
      </c>
      <c r="B53" s="169">
        <v>10</v>
      </c>
      <c r="C53" s="169">
        <v>658.35</v>
      </c>
      <c r="D53" s="169">
        <v>730.65</v>
      </c>
      <c r="E53" s="169">
        <v>6583.5</v>
      </c>
      <c r="F53" s="169">
        <v>7306.5</v>
      </c>
      <c r="G53" s="169">
        <v>723</v>
      </c>
      <c r="H53" s="169">
        <v>10.98</v>
      </c>
      <c r="I53" s="169">
        <v>0</v>
      </c>
      <c r="J53" s="160" t="str">
        <f>_xlfn.IFNA(VLOOKUP(A53,AllocationTable[TRADE],1,0),"Not Invested")</f>
        <v>HBLENGINE</v>
      </c>
    </row>
    <row r="54" spans="1:10" x14ac:dyDescent="0.25">
      <c r="A54" s="169" t="s">
        <v>84</v>
      </c>
      <c r="B54" s="169">
        <v>36</v>
      </c>
      <c r="C54" s="169">
        <v>2169.1799999999998</v>
      </c>
      <c r="D54" s="169">
        <v>2619.5500000000002</v>
      </c>
      <c r="E54" s="169">
        <v>78090.649999999994</v>
      </c>
      <c r="F54" s="169">
        <v>94303.8</v>
      </c>
      <c r="G54" s="169">
        <v>16213.15</v>
      </c>
      <c r="H54" s="169">
        <v>20.76</v>
      </c>
      <c r="I54" s="169">
        <v>0</v>
      </c>
      <c r="J54" s="160" t="str">
        <f>_xlfn.IFNA(VLOOKUP(A54,AllocationTable[TRADE],1,0),"Not Invested")</f>
        <v>HDFCAMC</v>
      </c>
    </row>
    <row r="55" spans="1:10" x14ac:dyDescent="0.25">
      <c r="A55" s="169" t="s">
        <v>85</v>
      </c>
      <c r="B55" s="169">
        <v>80</v>
      </c>
      <c r="C55" s="169">
        <v>836.76</v>
      </c>
      <c r="D55" s="169">
        <v>810.4</v>
      </c>
      <c r="E55" s="169">
        <v>66941</v>
      </c>
      <c r="F55" s="169">
        <v>64832</v>
      </c>
      <c r="G55" s="169">
        <v>-2109</v>
      </c>
      <c r="H55" s="169">
        <v>-3.15</v>
      </c>
      <c r="I55" s="169">
        <v>0</v>
      </c>
      <c r="J55" s="160" t="str">
        <f>_xlfn.IFNA(VLOOKUP(A55,AllocationTable[TRADE],1,0),"Not Invested")</f>
        <v>HDFCBANK</v>
      </c>
    </row>
    <row r="56" spans="1:10" x14ac:dyDescent="0.25">
      <c r="A56" s="169" t="s">
        <v>86</v>
      </c>
      <c r="B56" s="169">
        <v>10</v>
      </c>
      <c r="C56" s="169">
        <v>4546.37</v>
      </c>
      <c r="D56" s="169">
        <v>5468.45</v>
      </c>
      <c r="E56" s="169">
        <v>45463.7</v>
      </c>
      <c r="F56" s="169">
        <v>54684.5</v>
      </c>
      <c r="G56" s="169">
        <v>9220.7999999999993</v>
      </c>
      <c r="H56" s="169">
        <v>20.28</v>
      </c>
      <c r="I56" s="169">
        <v>0</v>
      </c>
      <c r="J56" s="160" t="str">
        <f>_xlfn.IFNA(VLOOKUP(A56,AllocationTable[TRADE],1,0),"Not Invested")</f>
        <v>HEROMOTOCO</v>
      </c>
    </row>
    <row r="57" spans="1:10" x14ac:dyDescent="0.25">
      <c r="A57" s="169" t="s">
        <v>328</v>
      </c>
      <c r="B57" s="169">
        <v>50</v>
      </c>
      <c r="C57" s="169">
        <v>539.75</v>
      </c>
      <c r="D57" s="169">
        <v>530.04999999999995</v>
      </c>
      <c r="E57" s="169">
        <v>26987.5</v>
      </c>
      <c r="F57" s="169">
        <v>26502.5</v>
      </c>
      <c r="G57" s="169">
        <v>-485</v>
      </c>
      <c r="H57" s="169">
        <v>-1.8</v>
      </c>
      <c r="I57" s="169">
        <v>0</v>
      </c>
      <c r="J57" s="160" t="str">
        <f>_xlfn.IFNA(VLOOKUP(A57,AllocationTable[TRADE],1,0),"Not Invested")</f>
        <v>HINDCOPPER</v>
      </c>
    </row>
    <row r="58" spans="1:10" x14ac:dyDescent="0.25">
      <c r="A58" s="169" t="s">
        <v>329</v>
      </c>
      <c r="B58" s="169">
        <v>40</v>
      </c>
      <c r="C58" s="169">
        <v>564.61</v>
      </c>
      <c r="D58" s="169">
        <v>564.6</v>
      </c>
      <c r="E58" s="169">
        <v>22584.55</v>
      </c>
      <c r="F58" s="169">
        <v>22584</v>
      </c>
      <c r="G58" s="169">
        <v>-0.55000000000000004</v>
      </c>
      <c r="H58" s="169">
        <v>0</v>
      </c>
      <c r="I58" s="169">
        <v>0</v>
      </c>
      <c r="J58" s="160" t="str">
        <f>_xlfn.IFNA(VLOOKUP(A58,AllocationTable[TRADE],1,0),"Not Invested")</f>
        <v>HINDZINC</v>
      </c>
    </row>
    <row r="59" spans="1:10" x14ac:dyDescent="0.25">
      <c r="A59" s="169" t="s">
        <v>87</v>
      </c>
      <c r="B59" s="169">
        <v>50</v>
      </c>
      <c r="C59" s="169">
        <v>304.75</v>
      </c>
      <c r="D59" s="169">
        <v>325.05</v>
      </c>
      <c r="E59" s="169">
        <v>15237.5</v>
      </c>
      <c r="F59" s="169">
        <v>16252.5</v>
      </c>
      <c r="G59" s="169">
        <v>1015</v>
      </c>
      <c r="H59" s="169">
        <v>6.66</v>
      </c>
      <c r="I59" s="169">
        <v>0</v>
      </c>
      <c r="J59" s="160" t="str">
        <f>_xlfn.IFNA(VLOOKUP(A59,AllocationTable[TRADE],1,0),"Not Invested")</f>
        <v>HPL</v>
      </c>
    </row>
    <row r="60" spans="1:10" x14ac:dyDescent="0.25">
      <c r="A60" s="169" t="s">
        <v>88</v>
      </c>
      <c r="B60" s="169">
        <v>150</v>
      </c>
      <c r="C60" s="169">
        <v>172.78</v>
      </c>
      <c r="D60" s="169">
        <v>184</v>
      </c>
      <c r="E60" s="169">
        <v>25917</v>
      </c>
      <c r="F60" s="169">
        <v>27600</v>
      </c>
      <c r="G60" s="169">
        <v>1683</v>
      </c>
      <c r="H60" s="169">
        <v>6.49</v>
      </c>
      <c r="I60" s="169">
        <v>0</v>
      </c>
      <c r="J60" s="160" t="str">
        <f>_xlfn.IFNA(VLOOKUP(A60,AllocationTable[TRADE],1,0),"Not Invested")</f>
        <v>HUDCO</v>
      </c>
    </row>
    <row r="61" spans="1:10" x14ac:dyDescent="0.25">
      <c r="A61" s="169" t="s">
        <v>262</v>
      </c>
      <c r="B61" s="169">
        <v>2</v>
      </c>
      <c r="C61" s="169">
        <v>2729.5</v>
      </c>
      <c r="D61" s="169">
        <v>3390.2</v>
      </c>
      <c r="E61" s="169">
        <v>5459</v>
      </c>
      <c r="F61" s="169">
        <v>6780.4</v>
      </c>
      <c r="G61" s="169">
        <v>1321.4</v>
      </c>
      <c r="H61" s="169">
        <v>24.21</v>
      </c>
      <c r="I61" s="169">
        <v>0</v>
      </c>
      <c r="J61" s="160" t="str">
        <f>_xlfn.IFNA(VLOOKUP(A61,AllocationTable[TRADE],1,0),"Not Invested")</f>
        <v>ICICIAMC</v>
      </c>
    </row>
    <row r="62" spans="1:10" x14ac:dyDescent="0.25">
      <c r="A62" s="169" t="s">
        <v>89</v>
      </c>
      <c r="B62" s="169">
        <v>40</v>
      </c>
      <c r="C62" s="169">
        <v>1284.3499999999999</v>
      </c>
      <c r="D62" s="169">
        <v>1322</v>
      </c>
      <c r="E62" s="169">
        <v>51374</v>
      </c>
      <c r="F62" s="169">
        <v>52880</v>
      </c>
      <c r="G62" s="169">
        <v>1506</v>
      </c>
      <c r="H62" s="169">
        <v>2.93</v>
      </c>
      <c r="I62" s="169">
        <v>0</v>
      </c>
      <c r="J62" s="160" t="str">
        <f>_xlfn.IFNA(VLOOKUP(A62,AllocationTable[TRADE],1,0),"Not Invested")</f>
        <v>ICICIBANK</v>
      </c>
    </row>
    <row r="63" spans="1:10" x14ac:dyDescent="0.25">
      <c r="A63" s="169" t="s">
        <v>198</v>
      </c>
      <c r="B63" s="169">
        <v>16</v>
      </c>
      <c r="C63" s="169">
        <v>629.58000000000004</v>
      </c>
      <c r="D63" s="169">
        <v>641.5</v>
      </c>
      <c r="E63" s="169">
        <v>10073.25</v>
      </c>
      <c r="F63" s="169">
        <v>10264</v>
      </c>
      <c r="G63" s="169">
        <v>190.75</v>
      </c>
      <c r="H63" s="169">
        <v>1.89</v>
      </c>
      <c r="I63" s="169">
        <v>0</v>
      </c>
      <c r="J63" s="160" t="str">
        <f>_xlfn.IFNA(VLOOKUP(A63,AllocationTable[TRADE],1,0),"Not Invested")</f>
        <v>INDHOTEL</v>
      </c>
    </row>
    <row r="64" spans="1:10" x14ac:dyDescent="0.25">
      <c r="A64" s="169" t="s">
        <v>203</v>
      </c>
      <c r="B64" s="169">
        <v>175</v>
      </c>
      <c r="C64" s="169">
        <v>102.97</v>
      </c>
      <c r="D64" s="169">
        <v>100.26</v>
      </c>
      <c r="E64" s="169">
        <v>18019.560000000001</v>
      </c>
      <c r="F64" s="169">
        <v>17545.5</v>
      </c>
      <c r="G64" s="169">
        <v>-474.06</v>
      </c>
      <c r="H64" s="169">
        <v>-2.63</v>
      </c>
      <c r="I64" s="169">
        <v>0</v>
      </c>
      <c r="J64" s="160" t="str">
        <f>_xlfn.IFNA(VLOOKUP(A64,AllocationTable[TRADE],1,0),"Not Invested")</f>
        <v>IRFC</v>
      </c>
    </row>
    <row r="65" spans="1:10" x14ac:dyDescent="0.25">
      <c r="A65" s="169" t="s">
        <v>91</v>
      </c>
      <c r="B65" s="169">
        <v>101</v>
      </c>
      <c r="C65" s="169">
        <v>304.95</v>
      </c>
      <c r="D65" s="169">
        <v>304.25</v>
      </c>
      <c r="E65" s="169">
        <v>30800</v>
      </c>
      <c r="F65" s="169">
        <v>30729.25</v>
      </c>
      <c r="G65" s="169">
        <v>-70.75</v>
      </c>
      <c r="H65" s="169">
        <v>-0.23</v>
      </c>
      <c r="I65" s="169">
        <v>0</v>
      </c>
      <c r="J65" s="160" t="str">
        <f>_xlfn.IFNA(VLOOKUP(A65,AllocationTable[TRADE],1,0),"Not Invested")</f>
        <v>ITC</v>
      </c>
    </row>
    <row r="66" spans="1:10" x14ac:dyDescent="0.25">
      <c r="A66" s="169" t="s">
        <v>92</v>
      </c>
      <c r="B66" s="169">
        <v>51</v>
      </c>
      <c r="C66" s="169">
        <v>238.63</v>
      </c>
      <c r="D66" s="169">
        <v>243.25</v>
      </c>
      <c r="E66" s="169">
        <v>12170</v>
      </c>
      <c r="F66" s="169">
        <v>12405.75</v>
      </c>
      <c r="G66" s="169">
        <v>235.75</v>
      </c>
      <c r="H66" s="169">
        <v>1.94</v>
      </c>
      <c r="I66" s="169">
        <v>0</v>
      </c>
      <c r="J66" s="160" t="str">
        <f>_xlfn.IFNA(VLOOKUP(A66,AllocationTable[TRADE],1,0),"Not Invested")</f>
        <v>JIOFIN</v>
      </c>
    </row>
    <row r="67" spans="1:10" x14ac:dyDescent="0.25">
      <c r="A67" s="169" t="s">
        <v>93</v>
      </c>
      <c r="B67" s="169">
        <v>30</v>
      </c>
      <c r="C67" s="169">
        <v>350</v>
      </c>
      <c r="D67" s="169">
        <v>411.1</v>
      </c>
      <c r="E67" s="169">
        <v>10500</v>
      </c>
      <c r="F67" s="169">
        <v>12333</v>
      </c>
      <c r="G67" s="169">
        <v>1833</v>
      </c>
      <c r="H67" s="169">
        <v>17.46</v>
      </c>
      <c r="I67" s="169">
        <v>0</v>
      </c>
      <c r="J67" s="160" t="str">
        <f>_xlfn.IFNA(VLOOKUP(A67,AllocationTable[TRADE],1,0),"Not Invested")</f>
        <v>KPIGREEN</v>
      </c>
    </row>
    <row r="68" spans="1:10" x14ac:dyDescent="0.25">
      <c r="A68" s="169" t="s">
        <v>95</v>
      </c>
      <c r="B68" s="169">
        <v>7</v>
      </c>
      <c r="C68" s="169">
        <v>1385.6</v>
      </c>
      <c r="D68" s="169">
        <v>1477.7</v>
      </c>
      <c r="E68" s="169">
        <v>9699.2000000000007</v>
      </c>
      <c r="F68" s="169">
        <v>10343.9</v>
      </c>
      <c r="G68" s="169">
        <v>644.70000000000005</v>
      </c>
      <c r="H68" s="169">
        <v>6.65</v>
      </c>
      <c r="I68" s="169">
        <v>0</v>
      </c>
      <c r="J68" s="160" t="str">
        <f>_xlfn.IFNA(VLOOKUP(A68,AllocationTable[TRADE],1,0),"Not Invested")</f>
        <v>LGEINDIA</v>
      </c>
    </row>
    <row r="69" spans="1:10" x14ac:dyDescent="0.25">
      <c r="A69" s="169" t="s">
        <v>97</v>
      </c>
      <c r="B69" s="169">
        <v>7</v>
      </c>
      <c r="C69" s="169">
        <v>5921.54</v>
      </c>
      <c r="D69" s="169">
        <v>7190.85</v>
      </c>
      <c r="E69" s="169">
        <v>41450.75</v>
      </c>
      <c r="F69" s="169">
        <v>50335.95</v>
      </c>
      <c r="G69" s="169">
        <v>8885.2000000000007</v>
      </c>
      <c r="H69" s="169">
        <v>21.44</v>
      </c>
      <c r="I69" s="169">
        <v>0</v>
      </c>
      <c r="J69" s="160" t="str">
        <f>_xlfn.IFNA(VLOOKUP(A69,AllocationTable[TRADE],1,0),"Not Invested")</f>
        <v>LINDEINDIA</v>
      </c>
    </row>
    <row r="70" spans="1:10" x14ac:dyDescent="0.25">
      <c r="A70" s="169" t="s">
        <v>98</v>
      </c>
      <c r="B70" s="169">
        <v>11</v>
      </c>
      <c r="C70" s="169">
        <v>3746.35</v>
      </c>
      <c r="D70" s="169">
        <v>3959.9</v>
      </c>
      <c r="E70" s="169">
        <v>41209.800000000003</v>
      </c>
      <c r="F70" s="169">
        <v>43558.9</v>
      </c>
      <c r="G70" s="169">
        <v>2349.1</v>
      </c>
      <c r="H70" s="169">
        <v>5.7</v>
      </c>
      <c r="I70" s="169">
        <v>0</v>
      </c>
      <c r="J70" s="160" t="str">
        <f>_xlfn.IFNA(VLOOKUP(A70,AllocationTable[TRADE],1,0),"Not Invested")</f>
        <v>LT</v>
      </c>
    </row>
    <row r="71" spans="1:10" x14ac:dyDescent="0.25">
      <c r="A71" s="169" t="s">
        <v>99</v>
      </c>
      <c r="B71" s="169">
        <v>8</v>
      </c>
      <c r="C71" s="169">
        <v>3121.31</v>
      </c>
      <c r="D71" s="169">
        <v>3261.8</v>
      </c>
      <c r="E71" s="169">
        <v>24970.5</v>
      </c>
      <c r="F71" s="169">
        <v>26094.400000000001</v>
      </c>
      <c r="G71" s="169">
        <v>1123.9000000000001</v>
      </c>
      <c r="H71" s="169">
        <v>4.5</v>
      </c>
      <c r="I71" s="169">
        <v>0</v>
      </c>
      <c r="J71" s="160" t="str">
        <f>_xlfn.IFNA(VLOOKUP(A71,AllocationTable[TRADE],1,0),"Not Invested")</f>
        <v>M&amp;M</v>
      </c>
    </row>
    <row r="72" spans="1:10" x14ac:dyDescent="0.25">
      <c r="A72" s="169" t="s">
        <v>204</v>
      </c>
      <c r="B72" s="169">
        <v>1</v>
      </c>
      <c r="C72" s="169">
        <v>2011.94</v>
      </c>
      <c r="D72" s="169">
        <v>2669.4</v>
      </c>
      <c r="E72" s="169">
        <v>2011.94</v>
      </c>
      <c r="F72" s="169">
        <v>2669.4</v>
      </c>
      <c r="G72" s="169">
        <v>657.46</v>
      </c>
      <c r="H72" s="169">
        <v>32.68</v>
      </c>
      <c r="I72" s="169">
        <v>0</v>
      </c>
      <c r="J72" s="160" t="str">
        <f>_xlfn.IFNA(VLOOKUP(A72,AllocationTable[TRADE],1,0),"Not Invested")</f>
        <v>MCX</v>
      </c>
    </row>
    <row r="73" spans="1:10" x14ac:dyDescent="0.25">
      <c r="A73" s="169" t="s">
        <v>348</v>
      </c>
      <c r="B73" s="169">
        <v>301</v>
      </c>
      <c r="C73" s="169">
        <v>120.36</v>
      </c>
      <c r="D73" s="169">
        <v>122.16</v>
      </c>
      <c r="E73" s="169">
        <v>36229.230000000003</v>
      </c>
      <c r="F73" s="169">
        <v>36770.160000000003</v>
      </c>
      <c r="G73" s="169">
        <v>540.92999999999995</v>
      </c>
      <c r="H73" s="169">
        <v>1.49</v>
      </c>
      <c r="I73" s="169">
        <v>0</v>
      </c>
      <c r="J73" s="160" t="str">
        <f>_xlfn.IFNA(VLOOKUP(A73,AllocationTable[TRADE],1,0),"Not Invested")</f>
        <v>MOTHERSON</v>
      </c>
    </row>
    <row r="74" spans="1:10" x14ac:dyDescent="0.25">
      <c r="A74" s="169" t="s">
        <v>207</v>
      </c>
      <c r="B74" s="169">
        <v>450</v>
      </c>
      <c r="C74" s="169">
        <v>42.77</v>
      </c>
      <c r="D74" s="169">
        <v>39.33</v>
      </c>
      <c r="E74" s="169">
        <v>19248</v>
      </c>
      <c r="F74" s="169">
        <v>17698.5</v>
      </c>
      <c r="G74" s="169">
        <v>-1549.5</v>
      </c>
      <c r="H74" s="169">
        <v>-8.0500000000000007</v>
      </c>
      <c r="I74" s="169">
        <v>0</v>
      </c>
      <c r="J74" s="160" t="str">
        <f>_xlfn.IFNA(VLOOKUP(A74,AllocationTable[TRADE],1,0),"Not Invested")</f>
        <v>MSUMI</v>
      </c>
    </row>
    <row r="75" spans="1:10" x14ac:dyDescent="0.25">
      <c r="A75" s="169" t="s">
        <v>101</v>
      </c>
      <c r="B75" s="169">
        <v>6</v>
      </c>
      <c r="C75" s="169">
        <v>3247.21</v>
      </c>
      <c r="D75" s="169">
        <v>3346.2</v>
      </c>
      <c r="E75" s="169">
        <v>19483.25</v>
      </c>
      <c r="F75" s="169">
        <v>20077.2</v>
      </c>
      <c r="G75" s="169">
        <v>593.95000000000005</v>
      </c>
      <c r="H75" s="169">
        <v>3.05</v>
      </c>
      <c r="I75" s="169">
        <v>0</v>
      </c>
      <c r="J75" s="160" t="str">
        <f>_xlfn.IFNA(VLOOKUP(A75,AllocationTable[TRADE],1,0),"Not Invested")</f>
        <v>NETWEB</v>
      </c>
    </row>
    <row r="76" spans="1:10" x14ac:dyDescent="0.25">
      <c r="A76" s="169" t="s">
        <v>254</v>
      </c>
      <c r="B76" s="169">
        <v>20</v>
      </c>
      <c r="C76" s="169">
        <v>885.62</v>
      </c>
      <c r="D76" s="169">
        <v>925.85</v>
      </c>
      <c r="E76" s="169">
        <v>17712.400000000001</v>
      </c>
      <c r="F76" s="169">
        <v>18517</v>
      </c>
      <c r="G76" s="169">
        <v>804.6</v>
      </c>
      <c r="H76" s="169">
        <v>4.54</v>
      </c>
      <c r="I76" s="169">
        <v>0</v>
      </c>
      <c r="J76" s="160" t="str">
        <f>_xlfn.IFNA(VLOOKUP(A76,AllocationTable[TRADE],1,0),"Not Invested")</f>
        <v>NSDL</v>
      </c>
    </row>
    <row r="77" spans="1:10" x14ac:dyDescent="0.25">
      <c r="A77" s="169" t="s">
        <v>102</v>
      </c>
      <c r="B77" s="169">
        <v>100</v>
      </c>
      <c r="C77" s="169">
        <v>87.99</v>
      </c>
      <c r="D77" s="169">
        <v>97.33</v>
      </c>
      <c r="E77" s="169">
        <v>8799</v>
      </c>
      <c r="F77" s="169">
        <v>9733</v>
      </c>
      <c r="G77" s="169">
        <v>934</v>
      </c>
      <c r="H77" s="169">
        <v>10.61</v>
      </c>
      <c r="I77" s="169">
        <v>0</v>
      </c>
      <c r="J77" s="160" t="str">
        <f>_xlfn.IFNA(VLOOKUP(A77,AllocationTable[TRADE],1,0),"Not Invested")</f>
        <v>NTPCGREEN</v>
      </c>
    </row>
    <row r="78" spans="1:10" x14ac:dyDescent="0.25">
      <c r="A78" s="169" t="s">
        <v>103</v>
      </c>
      <c r="B78" s="169">
        <v>15</v>
      </c>
      <c r="C78" s="169">
        <v>914.2</v>
      </c>
      <c r="D78" s="169">
        <v>1184.25</v>
      </c>
      <c r="E78" s="169">
        <v>13713</v>
      </c>
      <c r="F78" s="169">
        <v>17763.75</v>
      </c>
      <c r="G78" s="169">
        <v>4050.75</v>
      </c>
      <c r="H78" s="169">
        <v>29.54</v>
      </c>
      <c r="I78" s="169">
        <v>0</v>
      </c>
      <c r="J78" s="160" t="str">
        <f>_xlfn.IFNA(VLOOKUP(A78,AllocationTable[TRADE],1,0),"Not Invested")</f>
        <v>OLECTRA</v>
      </c>
    </row>
    <row r="79" spans="1:10" x14ac:dyDescent="0.25">
      <c r="A79" s="169" t="s">
        <v>104</v>
      </c>
      <c r="B79" s="169">
        <v>40</v>
      </c>
      <c r="C79" s="169">
        <v>651.59</v>
      </c>
      <c r="D79" s="169">
        <v>681.25</v>
      </c>
      <c r="E79" s="169">
        <v>26063.75</v>
      </c>
      <c r="F79" s="169">
        <v>27250</v>
      </c>
      <c r="G79" s="169">
        <v>1186.25</v>
      </c>
      <c r="H79" s="169">
        <v>4.55</v>
      </c>
      <c r="I79" s="169">
        <v>0</v>
      </c>
      <c r="J79" s="160" t="str">
        <f>_xlfn.IFNA(VLOOKUP(A79,AllocationTable[TRADE],1,0),"Not Invested")</f>
        <v>PARAS</v>
      </c>
    </row>
    <row r="80" spans="1:10" x14ac:dyDescent="0.25">
      <c r="A80" s="169" t="s">
        <v>106</v>
      </c>
      <c r="B80" s="169">
        <v>40</v>
      </c>
      <c r="C80" s="169">
        <v>385.13</v>
      </c>
      <c r="D80" s="169">
        <v>434.9</v>
      </c>
      <c r="E80" s="169">
        <v>15405</v>
      </c>
      <c r="F80" s="169">
        <v>17396</v>
      </c>
      <c r="G80" s="169">
        <v>1991</v>
      </c>
      <c r="H80" s="169">
        <v>12.92</v>
      </c>
      <c r="I80" s="169">
        <v>0</v>
      </c>
      <c r="J80" s="160" t="str">
        <f>_xlfn.IFNA(VLOOKUP(A80,AllocationTable[TRADE],1,0),"Not Invested")</f>
        <v>PFC</v>
      </c>
    </row>
    <row r="81" spans="1:10" x14ac:dyDescent="0.25">
      <c r="A81" s="169" t="s">
        <v>107</v>
      </c>
      <c r="B81" s="169">
        <v>50</v>
      </c>
      <c r="C81" s="169">
        <v>170.82</v>
      </c>
      <c r="D81" s="169">
        <v>177.65</v>
      </c>
      <c r="E81" s="169">
        <v>8541</v>
      </c>
      <c r="F81" s="169">
        <v>8882.5</v>
      </c>
      <c r="G81" s="169">
        <v>341.5</v>
      </c>
      <c r="H81" s="169">
        <v>4</v>
      </c>
      <c r="I81" s="169">
        <v>0</v>
      </c>
      <c r="J81" s="160" t="str">
        <f>_xlfn.IFNA(VLOOKUP(A81,AllocationTable[TRADE],1,0),"Not Invested")</f>
        <v>PINELABS</v>
      </c>
    </row>
    <row r="82" spans="1:10" x14ac:dyDescent="0.25">
      <c r="A82" s="169" t="s">
        <v>109</v>
      </c>
      <c r="B82" s="169">
        <v>20</v>
      </c>
      <c r="C82" s="169">
        <v>1360</v>
      </c>
      <c r="D82" s="169">
        <v>1350.2</v>
      </c>
      <c r="E82" s="169">
        <v>27200</v>
      </c>
      <c r="F82" s="169">
        <v>27004</v>
      </c>
      <c r="G82" s="169">
        <v>-196</v>
      </c>
      <c r="H82" s="169">
        <v>-0.72</v>
      </c>
      <c r="I82" s="169">
        <v>0</v>
      </c>
      <c r="J82" s="160" t="str">
        <f>_xlfn.IFNA(VLOOKUP(A82,AllocationTable[TRADE],1,0),"Not Invested")</f>
        <v>RELIANCE</v>
      </c>
    </row>
    <row r="83" spans="1:10" x14ac:dyDescent="0.25">
      <c r="A83" s="169" t="s">
        <v>201</v>
      </c>
      <c r="B83" s="169">
        <v>1</v>
      </c>
      <c r="C83" s="169">
        <v>322.60000000000002</v>
      </c>
      <c r="D83" s="169">
        <v>275.10000000000002</v>
      </c>
      <c r="E83" s="169">
        <v>322.60000000000002</v>
      </c>
      <c r="F83" s="169">
        <v>275.10000000000002</v>
      </c>
      <c r="G83" s="169">
        <v>-47.5</v>
      </c>
      <c r="H83" s="169">
        <v>-14.72</v>
      </c>
      <c r="I83" s="169">
        <v>0</v>
      </c>
      <c r="J83" s="160" t="str">
        <f>_xlfn.IFNA(VLOOKUP(A83,AllocationTable[TRADE],1,0),"Not Invested")</f>
        <v>RVNL</v>
      </c>
    </row>
    <row r="84" spans="1:10" x14ac:dyDescent="0.25">
      <c r="A84" s="169" t="s">
        <v>110</v>
      </c>
      <c r="B84" s="169">
        <v>20</v>
      </c>
      <c r="C84" s="169">
        <v>1106</v>
      </c>
      <c r="D84" s="169">
        <v>1066.7</v>
      </c>
      <c r="E84" s="169">
        <v>22120</v>
      </c>
      <c r="F84" s="169">
        <v>21334</v>
      </c>
      <c r="G84" s="169">
        <v>-786</v>
      </c>
      <c r="H84" s="169">
        <v>-3.55</v>
      </c>
      <c r="I84" s="169">
        <v>0</v>
      </c>
      <c r="J84" s="160" t="str">
        <f>_xlfn.IFNA(VLOOKUP(A84,AllocationTable[TRADE],1,0),"Not Invested")</f>
        <v>SBIN</v>
      </c>
    </row>
    <row r="85" spans="1:10" x14ac:dyDescent="0.25">
      <c r="A85" s="169" t="s">
        <v>349</v>
      </c>
      <c r="B85" s="169">
        <v>2</v>
      </c>
      <c r="C85" s="169">
        <v>3320</v>
      </c>
      <c r="D85" s="169">
        <v>3390.1</v>
      </c>
      <c r="E85" s="169">
        <v>6640</v>
      </c>
      <c r="F85" s="169">
        <v>6780.2</v>
      </c>
      <c r="G85" s="169">
        <v>140.19999999999999</v>
      </c>
      <c r="H85" s="169">
        <v>2.11</v>
      </c>
      <c r="I85" s="169">
        <v>0</v>
      </c>
      <c r="J85" s="160" t="str">
        <f>_xlfn.IFNA(VLOOKUP(A85,AllocationTable[TRADE],1,0),"Not Invested")</f>
        <v>SIEMENS</v>
      </c>
    </row>
    <row r="86" spans="1:10" x14ac:dyDescent="0.25">
      <c r="A86" s="169" t="s">
        <v>350</v>
      </c>
      <c r="B86" s="169">
        <v>21</v>
      </c>
      <c r="C86" s="169">
        <v>504.39</v>
      </c>
      <c r="D86" s="169">
        <v>554.25</v>
      </c>
      <c r="E86" s="169">
        <v>10592.2</v>
      </c>
      <c r="F86" s="169">
        <v>11639.25</v>
      </c>
      <c r="G86" s="169">
        <v>1047.05</v>
      </c>
      <c r="H86" s="169">
        <v>9.89</v>
      </c>
      <c r="I86" s="169">
        <v>0</v>
      </c>
      <c r="J86" s="160" t="str">
        <f>_xlfn.IFNA(VLOOKUP(A86,AllocationTable[TRADE],1,0),"Not Invested")</f>
        <v>SONACOMS</v>
      </c>
    </row>
    <row r="87" spans="1:10" x14ac:dyDescent="0.25">
      <c r="A87" s="169" t="s">
        <v>112</v>
      </c>
      <c r="B87" s="169">
        <v>200</v>
      </c>
      <c r="C87" s="169">
        <v>37.54</v>
      </c>
      <c r="D87" s="169">
        <v>38.76</v>
      </c>
      <c r="E87" s="169">
        <v>7508</v>
      </c>
      <c r="F87" s="169">
        <v>7752</v>
      </c>
      <c r="G87" s="169">
        <v>244</v>
      </c>
      <c r="H87" s="169">
        <v>3.25</v>
      </c>
      <c r="I87" s="169">
        <v>0</v>
      </c>
      <c r="J87" s="160" t="str">
        <f>_xlfn.IFNA(VLOOKUP(A87,AllocationTable[TRADE],1,0),"Not Invested")</f>
        <v>SOUTHBANK</v>
      </c>
    </row>
    <row r="88" spans="1:10" x14ac:dyDescent="0.25">
      <c r="A88" s="169" t="s">
        <v>113</v>
      </c>
      <c r="B88" s="169">
        <v>60</v>
      </c>
      <c r="C88" s="169">
        <v>326.89</v>
      </c>
      <c r="D88" s="169">
        <v>326.64999999999998</v>
      </c>
      <c r="E88" s="169">
        <v>19613.2</v>
      </c>
      <c r="F88" s="169">
        <v>19599</v>
      </c>
      <c r="G88" s="169">
        <v>-14.2</v>
      </c>
      <c r="H88" s="169">
        <v>-7.0000000000000007E-2</v>
      </c>
      <c r="I88" s="169">
        <v>0</v>
      </c>
      <c r="J88" s="160" t="str">
        <f>_xlfn.IFNA(VLOOKUP(A88,AllocationTable[TRADE],1,0),"Not Invested")</f>
        <v>TATACAP</v>
      </c>
    </row>
    <row r="89" spans="1:10" x14ac:dyDescent="0.25">
      <c r="A89" s="169" t="s">
        <v>114</v>
      </c>
      <c r="B89" s="169">
        <v>10</v>
      </c>
      <c r="C89" s="169">
        <v>400</v>
      </c>
      <c r="D89" s="169">
        <v>399.5</v>
      </c>
      <c r="E89" s="169">
        <v>4000</v>
      </c>
      <c r="F89" s="169">
        <v>3995</v>
      </c>
      <c r="G89" s="169">
        <v>-5</v>
      </c>
      <c r="H89" s="169">
        <v>-0.12</v>
      </c>
      <c r="I89" s="169">
        <v>0</v>
      </c>
      <c r="J89" s="160" t="str">
        <f>_xlfn.IFNA(VLOOKUP(A89,AllocationTable[TRADE],1,0),"Not Invested")</f>
        <v>TATAPOWER</v>
      </c>
    </row>
    <row r="90" spans="1:10" x14ac:dyDescent="0.25">
      <c r="A90" s="169" t="s">
        <v>115</v>
      </c>
      <c r="B90" s="169">
        <v>175</v>
      </c>
      <c r="C90" s="169">
        <v>370.47</v>
      </c>
      <c r="D90" s="169">
        <v>399</v>
      </c>
      <c r="E90" s="169">
        <v>64831.7</v>
      </c>
      <c r="F90" s="169">
        <v>69825</v>
      </c>
      <c r="G90" s="169">
        <v>4993.3</v>
      </c>
      <c r="H90" s="169">
        <v>7.7</v>
      </c>
      <c r="I90" s="169">
        <v>0</v>
      </c>
      <c r="J90" s="160" t="str">
        <f>_xlfn.IFNA(VLOOKUP(A90,AllocationTable[TRADE],1,0),"Not Invested")</f>
        <v>THYROCARE</v>
      </c>
    </row>
    <row r="91" spans="1:10" x14ac:dyDescent="0.25">
      <c r="A91" s="169" t="s">
        <v>118</v>
      </c>
      <c r="B91" s="169">
        <v>141</v>
      </c>
      <c r="C91" s="169">
        <v>255.22</v>
      </c>
      <c r="D91" s="169">
        <v>444.55</v>
      </c>
      <c r="E91" s="169">
        <v>35986.01</v>
      </c>
      <c r="F91" s="169">
        <v>62681.55</v>
      </c>
      <c r="G91" s="169">
        <v>26695.54</v>
      </c>
      <c r="H91" s="169">
        <v>74.180000000000007</v>
      </c>
      <c r="I91" s="169">
        <v>0</v>
      </c>
      <c r="J91" s="160" t="str">
        <f>_xlfn.IFNA(VLOOKUP(A91,AllocationTable[TRADE],1,0),"Not Invested")</f>
        <v>TMCV</v>
      </c>
    </row>
    <row r="92" spans="1:10" x14ac:dyDescent="0.25">
      <c r="A92" s="169" t="s">
        <v>119</v>
      </c>
      <c r="B92" s="169">
        <v>70</v>
      </c>
      <c r="C92" s="169">
        <v>341.35</v>
      </c>
      <c r="D92" s="169">
        <v>342.6</v>
      </c>
      <c r="E92" s="169">
        <v>23894.5</v>
      </c>
      <c r="F92" s="169">
        <v>23982</v>
      </c>
      <c r="G92" s="169">
        <v>87.5</v>
      </c>
      <c r="H92" s="169">
        <v>0.37</v>
      </c>
      <c r="I92" s="169">
        <v>0</v>
      </c>
      <c r="J92" s="160" t="str">
        <f>_xlfn.IFNA(VLOOKUP(A92,AllocationTable[TRADE],1,0),"Not Invested")</f>
        <v>TMPV</v>
      </c>
    </row>
    <row r="93" spans="1:10" x14ac:dyDescent="0.25">
      <c r="A93" s="169" t="s">
        <v>120</v>
      </c>
      <c r="B93" s="169">
        <v>25</v>
      </c>
      <c r="C93" s="169">
        <v>1356.99</v>
      </c>
      <c r="D93" s="169">
        <v>1471.8</v>
      </c>
      <c r="E93" s="169">
        <v>33924.800000000003</v>
      </c>
      <c r="F93" s="169">
        <v>36795</v>
      </c>
      <c r="G93" s="169">
        <v>2870.2</v>
      </c>
      <c r="H93" s="169">
        <v>8.4600000000000009</v>
      </c>
      <c r="I93" s="169">
        <v>0</v>
      </c>
      <c r="J93" s="160" t="str">
        <f>_xlfn.IFNA(VLOOKUP(A93,AllocationTable[TRADE],1,0),"Not Invested")</f>
        <v>TORNTPOWER</v>
      </c>
    </row>
    <row r="94" spans="1:10" x14ac:dyDescent="0.25">
      <c r="A94" s="169" t="s">
        <v>122</v>
      </c>
      <c r="B94" s="169">
        <v>1</v>
      </c>
      <c r="C94" s="169">
        <v>11674</v>
      </c>
      <c r="D94" s="169">
        <v>11589.9</v>
      </c>
      <c r="E94" s="169">
        <v>11674</v>
      </c>
      <c r="F94" s="169">
        <v>11589.9</v>
      </c>
      <c r="G94" s="169">
        <v>-84.1</v>
      </c>
      <c r="H94" s="169">
        <v>-0.72</v>
      </c>
      <c r="I94" s="169">
        <v>0</v>
      </c>
      <c r="J94" s="160" t="str">
        <f>_xlfn.IFNA(VLOOKUP(A94,AllocationTable[TRADE],1,0),"Not Invested")</f>
        <v>ULTRACEMCO</v>
      </c>
    </row>
    <row r="95" spans="1:10" x14ac:dyDescent="0.25">
      <c r="A95" s="169" t="s">
        <v>205</v>
      </c>
      <c r="B95" s="169">
        <v>30</v>
      </c>
      <c r="C95" s="169">
        <v>445.2</v>
      </c>
      <c r="D95" s="169">
        <v>432.6</v>
      </c>
      <c r="E95" s="169">
        <v>13356</v>
      </c>
      <c r="F95" s="169">
        <v>12978</v>
      </c>
      <c r="G95" s="169">
        <v>-378</v>
      </c>
      <c r="H95" s="169">
        <v>-2.83</v>
      </c>
      <c r="I95" s="169">
        <v>0</v>
      </c>
      <c r="J95" s="160" t="str">
        <f>_xlfn.IFNA(VLOOKUP(A95,AllocationTable[TRADE],1,0),"Not Invested")</f>
        <v>VBL</v>
      </c>
    </row>
    <row r="96" spans="1:10" x14ac:dyDescent="0.25">
      <c r="A96" s="169" t="s">
        <v>209</v>
      </c>
      <c r="B96" s="169">
        <v>1</v>
      </c>
      <c r="C96" s="169">
        <v>615.65</v>
      </c>
      <c r="D96" s="169">
        <v>745.15</v>
      </c>
      <c r="E96" s="169">
        <v>615.65</v>
      </c>
      <c r="F96" s="169">
        <v>745.15</v>
      </c>
      <c r="G96" s="169">
        <v>129.5</v>
      </c>
      <c r="H96" s="169">
        <v>21.03</v>
      </c>
      <c r="I96" s="169">
        <v>0</v>
      </c>
      <c r="J96" s="160" t="str">
        <f>_xlfn.IFNA(VLOOKUP(A96,AllocationTable[TRADE],1,0),"Not Invested")</f>
        <v>VEDL</v>
      </c>
    </row>
    <row r="97" spans="1:10" x14ac:dyDescent="0.25">
      <c r="A97" s="169" t="s">
        <v>123</v>
      </c>
      <c r="B97" s="169">
        <v>400</v>
      </c>
      <c r="C97" s="169">
        <v>104.3</v>
      </c>
      <c r="D97" s="169">
        <v>114.5</v>
      </c>
      <c r="E97" s="169">
        <v>41719.1</v>
      </c>
      <c r="F97" s="169">
        <v>45800</v>
      </c>
      <c r="G97" s="169">
        <v>4080.9</v>
      </c>
      <c r="H97" s="169">
        <v>9.7799999999999994</v>
      </c>
      <c r="I97" s="169">
        <v>0</v>
      </c>
      <c r="J97" s="160" t="str">
        <f>_xlfn.IFNA(VLOOKUP(A97,AllocationTable[TRADE],1,0),"Not Invested")</f>
        <v>VMM</v>
      </c>
    </row>
    <row r="98" spans="1:10" x14ac:dyDescent="0.25">
      <c r="A98" s="169" t="s">
        <v>124</v>
      </c>
      <c r="B98" s="169">
        <v>19</v>
      </c>
      <c r="C98" s="169">
        <v>2600.62</v>
      </c>
      <c r="D98" s="169">
        <v>3281.55</v>
      </c>
      <c r="E98" s="169">
        <v>49411.7</v>
      </c>
      <c r="F98" s="169">
        <v>62349.45</v>
      </c>
      <c r="G98" s="169">
        <v>12937.75</v>
      </c>
      <c r="H98" s="169">
        <v>26.18</v>
      </c>
      <c r="I98" s="169">
        <v>0</v>
      </c>
      <c r="J98" s="160" t="str">
        <f>_xlfn.IFNA(VLOOKUP(A98,AllocationTable[TRADE],1,0),"Not Invested")</f>
        <v>WAAREEENER</v>
      </c>
    </row>
  </sheetData>
  <autoFilter ref="B1:J97" xr:uid="{63904039-01A2-43C6-8120-1475534ACC3C}"/>
  <conditionalFormatting sqref="A11">
    <cfRule type="duplicateValues" dxfId="13" priority="1"/>
  </conditionalFormatting>
  <conditionalFormatting sqref="J1:J7 J9:J1048576">
    <cfRule type="containsText" dxfId="12" priority="2" operator="containsText" text="Not Invested">
      <formula>NOT(ISERROR(SEARCH("Not Invested",J1)))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8D9D-30B5-496E-9699-5209F10951F4}">
  <sheetPr>
    <tabColor theme="3" tint="-0.499984740745262"/>
  </sheetPr>
  <dimension ref="B2:O85"/>
  <sheetViews>
    <sheetView workbookViewId="0">
      <selection activeCell="A84" sqref="A84"/>
    </sheetView>
  </sheetViews>
  <sheetFormatPr defaultColWidth="9.140625" defaultRowHeight="12" x14ac:dyDescent="0.2"/>
  <cols>
    <col min="1" max="1" width="9.140625" style="87"/>
    <col min="2" max="2" width="14.7109375" style="87" bestFit="1" customWidth="1"/>
    <col min="3" max="3" width="10.5703125" style="87" bestFit="1" customWidth="1"/>
    <col min="4" max="4" width="49.28515625" style="87" bestFit="1" customWidth="1"/>
    <col min="5" max="5" width="10.7109375" style="87" bestFit="1" customWidth="1"/>
    <col min="6" max="6" width="13.28515625" style="87" bestFit="1" customWidth="1"/>
    <col min="7" max="7" width="12.85546875" style="87" bestFit="1" customWidth="1"/>
    <col min="8" max="8" width="10" style="87" bestFit="1" customWidth="1"/>
    <col min="9" max="9" width="12.5703125" style="87" bestFit="1" customWidth="1"/>
    <col min="10" max="10" width="12.5703125" style="87" customWidth="1"/>
    <col min="11" max="11" width="10.42578125" style="87" bestFit="1" customWidth="1"/>
    <col min="12" max="12" width="12.42578125" style="87" bestFit="1" customWidth="1"/>
    <col min="13" max="13" width="21.42578125" style="87" bestFit="1" customWidth="1"/>
    <col min="14" max="14" width="11.7109375" style="87" bestFit="1" customWidth="1"/>
    <col min="15" max="16384" width="9.140625" style="87"/>
  </cols>
  <sheetData>
    <row r="2" spans="2:15" x14ac:dyDescent="0.2">
      <c r="B2" s="171" t="s">
        <v>50</v>
      </c>
      <c r="C2" s="172" t="s">
        <v>171</v>
      </c>
      <c r="D2" s="172" t="s">
        <v>172</v>
      </c>
      <c r="E2" s="172" t="s">
        <v>43</v>
      </c>
      <c r="F2" s="172" t="s">
        <v>49</v>
      </c>
      <c r="G2" s="172" t="s">
        <v>173</v>
      </c>
      <c r="H2" s="172" t="s">
        <v>239</v>
      </c>
      <c r="I2" s="172" t="s">
        <v>216</v>
      </c>
      <c r="J2" s="196" t="s">
        <v>217</v>
      </c>
      <c r="K2" s="173" t="s">
        <v>174</v>
      </c>
      <c r="L2" s="174" t="s">
        <v>175</v>
      </c>
      <c r="M2" s="175" t="s">
        <v>176</v>
      </c>
      <c r="N2" s="175" t="s">
        <v>177</v>
      </c>
      <c r="O2" s="174" t="s">
        <v>6</v>
      </c>
    </row>
    <row r="3" spans="2:15" x14ac:dyDescent="0.2">
      <c r="B3" s="183">
        <v>45964</v>
      </c>
      <c r="C3" s="184" t="str">
        <f>TEXT(InvestTransactionTable[[#This Row],[Entry Date]],"dddd")</f>
        <v>Monday</v>
      </c>
      <c r="D3" s="178" t="s">
        <v>133</v>
      </c>
      <c r="E3" s="178" t="str">
        <f>VLOOKUP(InvestTransactionTable[[#This Row],[Stock Name]],AllocationTable[[TRADE]:[TYPE]],3,0)</f>
        <v>Mutual Fund</v>
      </c>
      <c r="F3" s="185">
        <v>1.73</v>
      </c>
      <c r="G3" s="185" t="s">
        <v>178</v>
      </c>
      <c r="H3" s="186">
        <v>579.5</v>
      </c>
      <c r="I3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1002.535</v>
      </c>
      <c r="J3" s="186">
        <f>VLOOKUP(InvestTransactionTable[[#This Row],[Stock Name]],AllocationTable[[TRADE]:[LTP]],6,0)*InvestTransactionTable[[#This Row],[Quantity]]</f>
        <v>752.9539400038957</v>
      </c>
      <c r="K3" s="186">
        <f>InvestTransactionTable[[#This Row],[Current Value]]-InvestTransactionTable[[#This Row],[Invested Value]]</f>
        <v>-249.58105999610427</v>
      </c>
      <c r="L3" s="187">
        <f>InvestTransactionTable[[#This Row],[Profit]]/InvestTransactionTable[[#This Row],[Invested Value]]</f>
        <v>-0.2489499718175468</v>
      </c>
      <c r="M3" s="188" t="s">
        <v>240</v>
      </c>
      <c r="N3" s="188"/>
      <c r="O3" s="87" t="str">
        <f>TEXT(InvestTransactionTable[[#This Row],[Entry Date]],"MMM-YY")</f>
        <v>Nov-25</v>
      </c>
    </row>
    <row r="4" spans="2:15" x14ac:dyDescent="0.2">
      <c r="B4" s="183">
        <v>45964</v>
      </c>
      <c r="C4" s="184" t="str">
        <f>TEXT(InvestTransactionTable[[#This Row],[Entry Date]],"dddd")</f>
        <v>Monday</v>
      </c>
      <c r="D4" s="178" t="s">
        <v>135</v>
      </c>
      <c r="E4" s="178" t="str">
        <f>VLOOKUP(InvestTransactionTable[[#This Row],[Stock Name]],AllocationTable[[TRADE]:[TYPE]],3,0)</f>
        <v>Mutual Fund</v>
      </c>
      <c r="F4" s="185">
        <v>23.09</v>
      </c>
      <c r="G4" s="185" t="s">
        <v>178</v>
      </c>
      <c r="H4" s="186">
        <v>43.3</v>
      </c>
      <c r="I4" s="186">
        <f>IF(InvestTransactionTable[[#This Row],[Buy/Sell]]="Buy",InvestTransactionTable[[#This Row],[Quantity]]*InvestTransactionTable[[#This Row],[Price]],InvestTransactionTable[[#This Row],[Quantity]]*InvestTransactionTable[[#This Row],[Price]]*-1)</f>
        <v>999.79699999999991</v>
      </c>
      <c r="J4" s="186">
        <f>VLOOKUP(InvestTransactionTable[[#This Row],[Stock Name]],AllocationTable[[TRADE]:[LTP]],6,0)*InvestTransactionTable[[#This Row],[Quantity]]</f>
        <v>0</v>
      </c>
      <c r="K4" s="186">
        <f>InvestTransactionTable[[#This Row],[Current Value]]-InvestTransactionTable[[#This Row],[Invested Value]]</f>
        <v>-999.79699999999991</v>
      </c>
      <c r="L4" s="187">
        <f>InvestTransactionTable[[#This Row],[Profit]]/InvestTransactionTable[[#This Row],[Invested Value]]</f>
        <v>-1</v>
      </c>
      <c r="M4" s="188" t="s">
        <v>240</v>
      </c>
      <c r="N4" s="188"/>
      <c r="O4" s="87" t="str">
        <f>TEXT(InvestTransactionTable[[#This Row],[Entry Date]],"MMM-YY")</f>
        <v>Nov-25</v>
      </c>
    </row>
    <row r="5" spans="2:15" x14ac:dyDescent="0.2">
      <c r="B5" s="183">
        <v>45964</v>
      </c>
      <c r="C5" s="184" t="str">
        <f>TEXT(InvestTransactionTable[[#This Row],[Entry Date]],"dddd")</f>
        <v>Monday</v>
      </c>
      <c r="D5" s="178" t="s">
        <v>129</v>
      </c>
      <c r="E5" s="178" t="str">
        <f>VLOOKUP(InvestTransactionTable[[#This Row],[Stock Name]],AllocationTable[[TRADE]:[TYPE]],3,0)</f>
        <v>Mutual Fund</v>
      </c>
      <c r="F5" s="185">
        <v>4.4800000000000004</v>
      </c>
      <c r="G5" s="185" t="s">
        <v>178</v>
      </c>
      <c r="H5" s="186">
        <v>224.16</v>
      </c>
      <c r="I5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1004.2368000000001</v>
      </c>
      <c r="J5" s="186">
        <f>VLOOKUP(InvestTransactionTable[[#This Row],[Stock Name]],AllocationTable[[TRADE]:[LTP]],6,0)*InvestTransactionTable[[#This Row],[Quantity]]</f>
        <v>827.41440700092721</v>
      </c>
      <c r="K5" s="186">
        <f>InvestTransactionTable[[#This Row],[Current Value]]-InvestTransactionTable[[#This Row],[Invested Value]]</f>
        <v>-176.82239299907292</v>
      </c>
      <c r="L5" s="187">
        <f>InvestTransactionTable[[#This Row],[Profit]]/InvestTransactionTable[[#This Row],[Invested Value]]</f>
        <v>-0.17607639253916296</v>
      </c>
      <c r="M5" s="188" t="s">
        <v>240</v>
      </c>
      <c r="N5" s="188"/>
      <c r="O5" s="87" t="str">
        <f>TEXT(InvestTransactionTable[[#This Row],[Entry Date]],"MMM-YY")</f>
        <v>Nov-25</v>
      </c>
    </row>
    <row r="6" spans="2:15" x14ac:dyDescent="0.2">
      <c r="B6" s="183">
        <v>45964</v>
      </c>
      <c r="C6" s="184" t="str">
        <f>TEXT(InvestTransactionTable[[#This Row],[Entry Date]],"dddd")</f>
        <v>Monday</v>
      </c>
      <c r="D6" s="178" t="s">
        <v>126</v>
      </c>
      <c r="E6" s="178" t="str">
        <f>VLOOKUP(InvestTransactionTable[[#This Row],[Stock Name]],AllocationTable[[TRADE]:[TYPE]],3,0)</f>
        <v>Mutual Fund</v>
      </c>
      <c r="F6" s="185">
        <v>8.9499999999999993</v>
      </c>
      <c r="G6" s="185" t="s">
        <v>238</v>
      </c>
      <c r="H6" s="186">
        <v>111.8</v>
      </c>
      <c r="I6" s="186">
        <f>IF(InvestTransactionTable[[#This Row],[Buy/Sell]]="Buy",InvestTransactionTable[[#This Row],[Quantity]]*InvestTransactionTable[[#This Row],[Price]],InvestTransactionTable[[#This Row],[Quantity]]*InvestTransactionTable[[#This Row],[Price]]*-1)</f>
        <v>-1000.6099999999999</v>
      </c>
      <c r="J6" s="186">
        <f>VLOOKUP(InvestTransactionTable[[#This Row],[Stock Name]],AllocationTable[[TRADE]:[LTP]],6,0)*InvestTransactionTable[[#This Row],[Quantity]]</f>
        <v>671.88148669450959</v>
      </c>
      <c r="K6" s="186">
        <f>InvestTransactionTable[[#This Row],[Current Value]]-InvestTransactionTable[[#This Row],[Invested Value]]</f>
        <v>1672.4914866945096</v>
      </c>
      <c r="L6" s="187">
        <f>InvestTransactionTable[[#This Row],[Profit]]/InvestTransactionTable[[#This Row],[Invested Value]]</f>
        <v>-1.6714718888423159</v>
      </c>
      <c r="M6" s="188" t="s">
        <v>241</v>
      </c>
      <c r="N6" s="188"/>
      <c r="O6" s="87" t="str">
        <f>TEXT(InvestTransactionTable[[#This Row],[Entry Date]],"MMM-YY")</f>
        <v>Nov-25</v>
      </c>
    </row>
    <row r="7" spans="2:15" x14ac:dyDescent="0.2">
      <c r="B7" s="183">
        <v>45964</v>
      </c>
      <c r="C7" s="184" t="str">
        <f>TEXT(InvestTransactionTable[[#This Row],[Entry Date]],"dddd")</f>
        <v>Monday</v>
      </c>
      <c r="D7" s="178" t="s">
        <v>134</v>
      </c>
      <c r="E7" s="178" t="str">
        <f>VLOOKUP(InvestTransactionTable[[#This Row],[Stock Name]],AllocationTable[[TRADE]:[TYPE]],3,0)</f>
        <v>Mutual Fund</v>
      </c>
      <c r="F7" s="185">
        <v>10.61</v>
      </c>
      <c r="G7" s="185" t="s">
        <v>178</v>
      </c>
      <c r="H7" s="186">
        <v>94.46</v>
      </c>
      <c r="I7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1002.2205999999999</v>
      </c>
      <c r="J7" s="186">
        <f>VLOOKUP(InvestTransactionTable[[#This Row],[Stock Name]],AllocationTable[[TRADE]:[LTP]],6,0)*InvestTransactionTable[[#This Row],[Quantity]]</f>
        <v>703.98626425699786</v>
      </c>
      <c r="K7" s="186">
        <f>InvestTransactionTable[[#This Row],[Current Value]]-InvestTransactionTable[[#This Row],[Invested Value]]</f>
        <v>-298.23433574300202</v>
      </c>
      <c r="L7" s="187">
        <f>InvestTransactionTable[[#This Row],[Profit]]/InvestTransactionTable[[#This Row],[Invested Value]]</f>
        <v>-0.29757354393134811</v>
      </c>
      <c r="M7" s="188" t="s">
        <v>240</v>
      </c>
      <c r="N7" s="188"/>
      <c r="O7" s="87" t="str">
        <f>TEXT(InvestTransactionTable[[#This Row],[Entry Date]],"MMM-YY")</f>
        <v>Nov-25</v>
      </c>
    </row>
    <row r="8" spans="2:15" x14ac:dyDescent="0.2">
      <c r="B8" s="183">
        <v>45964</v>
      </c>
      <c r="C8" s="184" t="str">
        <f>TEXT(InvestTransactionTable[[#This Row],[Entry Date]],"dddd")</f>
        <v>Monday</v>
      </c>
      <c r="D8" s="178" t="s">
        <v>132</v>
      </c>
      <c r="E8" s="178" t="str">
        <f>VLOOKUP(InvestTransactionTable[[#This Row],[Stock Name]],AllocationTable[[TRADE]:[TYPE]],3,0)</f>
        <v>Mutual Fund</v>
      </c>
      <c r="F8" s="185">
        <v>93.82</v>
      </c>
      <c r="G8" s="185" t="s">
        <v>178</v>
      </c>
      <c r="H8" s="186">
        <v>10.71</v>
      </c>
      <c r="I8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1004.8122</v>
      </c>
      <c r="J8" s="186">
        <f>VLOOKUP(InvestTransactionTable[[#This Row],[Stock Name]],AllocationTable[[TRADE]:[LTP]],6,0)*InvestTransactionTable[[#This Row],[Quantity]]</f>
        <v>963.8907946974939</v>
      </c>
      <c r="K8" s="186">
        <f>InvestTransactionTable[[#This Row],[Current Value]]-InvestTransactionTable[[#This Row],[Invested Value]]</f>
        <v>-40.921405302506059</v>
      </c>
      <c r="L8" s="187">
        <f>InvestTransactionTable[[#This Row],[Profit]]/InvestTransactionTable[[#This Row],[Invested Value]]</f>
        <v>-4.0725426405557236E-2</v>
      </c>
      <c r="M8" s="188" t="s">
        <v>240</v>
      </c>
      <c r="N8" s="188"/>
      <c r="O8" s="87" t="str">
        <f>TEXT(InvestTransactionTable[[#This Row],[Entry Date]],"MMM-YY")</f>
        <v>Nov-25</v>
      </c>
    </row>
    <row r="9" spans="2:15" x14ac:dyDescent="0.2">
      <c r="B9" s="183">
        <v>45967</v>
      </c>
      <c r="C9" s="184" t="str">
        <f>TEXT(InvestTransactionTable[[#This Row],[Entry Date]],"dddd")</f>
        <v>Thursday</v>
      </c>
      <c r="D9" s="178" t="s">
        <v>127</v>
      </c>
      <c r="E9" s="178" t="str">
        <f>VLOOKUP(InvestTransactionTable[[#This Row],[Stock Name]],AllocationTable[[TRADE]:[TYPE]],3,0)</f>
        <v>Mutual Fund</v>
      </c>
      <c r="F9" s="185">
        <v>8.0399999999999991</v>
      </c>
      <c r="G9" s="185" t="s">
        <v>178</v>
      </c>
      <c r="H9" s="186">
        <v>124.3</v>
      </c>
      <c r="I9" s="186">
        <f>IF(InvestTransactionTable[[#This Row],[Buy/Sell]]="Buy",InvestTransactionTable[[#This Row],[Quantity]]*InvestTransactionTable[[#This Row],[Price]],InvestTransactionTable[[#This Row],[Quantity]]*InvestTransactionTable[[#This Row],[Price]]*-1)</f>
        <v>999.37199999999984</v>
      </c>
      <c r="J9" s="186">
        <f>VLOOKUP(InvestTransactionTable[[#This Row],[Stock Name]],AllocationTable[[TRADE]:[LTP]],6,0)*InvestTransactionTable[[#This Row],[Quantity]]</f>
        <v>752.42659175576739</v>
      </c>
      <c r="K9" s="186">
        <f>InvestTransactionTable[[#This Row],[Current Value]]-InvestTransactionTable[[#This Row],[Invested Value]]</f>
        <v>-246.94540824423245</v>
      </c>
      <c r="L9" s="187">
        <f>InvestTransactionTable[[#This Row],[Profit]]/InvestTransactionTable[[#This Row],[Invested Value]]</f>
        <v>-0.24710058741312793</v>
      </c>
      <c r="M9" s="188" t="s">
        <v>240</v>
      </c>
      <c r="N9" s="188"/>
      <c r="O9" s="87" t="str">
        <f>TEXT(InvestTransactionTable[[#This Row],[Entry Date]],"MMM-YY")</f>
        <v>Nov-25</v>
      </c>
    </row>
    <row r="10" spans="2:15" x14ac:dyDescent="0.2">
      <c r="B10" s="183">
        <v>45968</v>
      </c>
      <c r="C10" s="184" t="str">
        <f>TEXT(InvestTransactionTable[[#This Row],[Entry Date]],"dddd")</f>
        <v>Friday</v>
      </c>
      <c r="D10" s="178" t="s">
        <v>132</v>
      </c>
      <c r="E10" s="178" t="str">
        <f>VLOOKUP(InvestTransactionTable[[#This Row],[Stock Name]],AllocationTable[[TRADE]:[TYPE]],3,0)</f>
        <v>Mutual Fund</v>
      </c>
      <c r="F10" s="185">
        <v>96.36</v>
      </c>
      <c r="G10" s="185" t="s">
        <v>178</v>
      </c>
      <c r="H10" s="186">
        <v>10.43</v>
      </c>
      <c r="I10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1005.0348</v>
      </c>
      <c r="J10" s="186">
        <f>VLOOKUP(InvestTransactionTable[[#This Row],[Stock Name]],AllocationTable[[TRADE]:[LTP]],6,0)*InvestTransactionTable[[#This Row],[Quantity]]</f>
        <v>989.98632463281308</v>
      </c>
      <c r="K10" s="186">
        <f>InvestTransactionTable[[#This Row],[Current Value]]-InvestTransactionTable[[#This Row],[Invested Value]]</f>
        <v>-15.048475367186938</v>
      </c>
      <c r="L10" s="187">
        <f>InvestTransactionTable[[#This Row],[Profit]]/InvestTransactionTable[[#This Row],[Invested Value]]</f>
        <v>-1.4973088859397642E-2</v>
      </c>
      <c r="M10" s="188" t="s">
        <v>240</v>
      </c>
      <c r="N10" s="188"/>
      <c r="O10" s="87" t="str">
        <f>TEXT(InvestTransactionTable[[#This Row],[Entry Date]],"MMM-YY")</f>
        <v>Nov-25</v>
      </c>
    </row>
    <row r="11" spans="2:15" x14ac:dyDescent="0.2">
      <c r="B11" s="183">
        <v>45971</v>
      </c>
      <c r="C11" s="184" t="str">
        <f>TEXT(InvestTransactionTable[[#This Row],[Entry Date]],"dddd")</f>
        <v>Monday</v>
      </c>
      <c r="D11" s="178" t="s">
        <v>130</v>
      </c>
      <c r="E11" s="178" t="str">
        <f>VLOOKUP(InvestTransactionTable[[#This Row],[Stock Name]],AllocationTable[[TRADE]:[TYPE]],3,0)</f>
        <v>Mutual Fund</v>
      </c>
      <c r="F11" s="185">
        <v>98.91</v>
      </c>
      <c r="G11" s="185" t="s">
        <v>178</v>
      </c>
      <c r="H11" s="186">
        <v>10.130000000000001</v>
      </c>
      <c r="I11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1001.9583</v>
      </c>
      <c r="J11" s="186">
        <f>VLOOKUP(InvestTransactionTable[[#This Row],[Stock Name]],AllocationTable[[TRADE]:[LTP]],6,0)*InvestTransactionTable[[#This Row],[Quantity]]</f>
        <v>981.27876083258172</v>
      </c>
      <c r="K11" s="186">
        <f>InvestTransactionTable[[#This Row],[Current Value]]-InvestTransactionTable[[#This Row],[Invested Value]]</f>
        <v>-20.679539167418284</v>
      </c>
      <c r="L11" s="187">
        <f>InvestTransactionTable[[#This Row],[Profit]]/InvestTransactionTable[[#This Row],[Invested Value]]</f>
        <v>-2.0639121575636715E-2</v>
      </c>
      <c r="M11" s="188" t="s">
        <v>240</v>
      </c>
      <c r="N11" s="188"/>
      <c r="O11" s="87" t="str">
        <f>TEXT(InvestTransactionTable[[#This Row],[Entry Date]],"MMM-YY")</f>
        <v>Nov-25</v>
      </c>
    </row>
    <row r="12" spans="2:15" x14ac:dyDescent="0.2">
      <c r="B12" s="183">
        <v>45971</v>
      </c>
      <c r="C12" s="184" t="str">
        <f>TEXT(InvestTransactionTable[[#This Row],[Entry Date]],"dddd")</f>
        <v>Monday</v>
      </c>
      <c r="D12" s="178" t="s">
        <v>129</v>
      </c>
      <c r="E12" s="178" t="str">
        <f>VLOOKUP(InvestTransactionTable[[#This Row],[Stock Name]],AllocationTable[[TRADE]:[TYPE]],3,0)</f>
        <v>Mutual Fund</v>
      </c>
      <c r="F12" s="185">
        <v>4.5199999999999996</v>
      </c>
      <c r="G12" s="185" t="s">
        <v>178</v>
      </c>
      <c r="H12" s="186">
        <v>222</v>
      </c>
      <c r="I12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1003.4399999999999</v>
      </c>
      <c r="J12" s="186">
        <f>VLOOKUP(InvestTransactionTable[[#This Row],[Stock Name]],AllocationTable[[TRADE]:[LTP]],6,0)*InvestTransactionTable[[#This Row],[Quantity]]</f>
        <v>834.80203563486396</v>
      </c>
      <c r="K12" s="186">
        <f>InvestTransactionTable[[#This Row],[Current Value]]-InvestTransactionTable[[#This Row],[Invested Value]]</f>
        <v>-168.63796436513599</v>
      </c>
      <c r="L12" s="187">
        <f>InvestTransactionTable[[#This Row],[Profit]]/InvestTransactionTable[[#This Row],[Invested Value]]</f>
        <v>-0.16805983852062503</v>
      </c>
      <c r="M12" s="188" t="s">
        <v>240</v>
      </c>
      <c r="N12" s="188"/>
      <c r="O12" s="87" t="str">
        <f>TEXT(InvestTransactionTable[[#This Row],[Entry Date]],"MMM-YY")</f>
        <v>Nov-25</v>
      </c>
    </row>
    <row r="13" spans="2:15" x14ac:dyDescent="0.2">
      <c r="B13" s="183">
        <v>45972</v>
      </c>
      <c r="C13" s="184" t="str">
        <f>TEXT(InvestTransactionTable[[#This Row],[Entry Date]],"dddd")</f>
        <v>Tuesday</v>
      </c>
      <c r="D13" s="178" t="s">
        <v>133</v>
      </c>
      <c r="E13" s="178" t="str">
        <f>VLOOKUP(InvestTransactionTable[[#This Row],[Stock Name]],AllocationTable[[TRADE]:[TYPE]],3,0)</f>
        <v>Mutual Fund</v>
      </c>
      <c r="F13" s="185">
        <v>1.76</v>
      </c>
      <c r="G13" s="185" t="s">
        <v>178</v>
      </c>
      <c r="H13" s="186">
        <v>570.57000000000005</v>
      </c>
      <c r="I13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1004.2032</v>
      </c>
      <c r="J13" s="186">
        <f>VLOOKUP(InvestTransactionTable[[#This Row],[Stock Name]],AllocationTable[[TRADE]:[LTP]],6,0)*InvestTransactionTable[[#This Row],[Quantity]]</f>
        <v>766.01094474384763</v>
      </c>
      <c r="K13" s="186">
        <f>InvestTransactionTable[[#This Row],[Current Value]]-InvestTransactionTable[[#This Row],[Invested Value]]</f>
        <v>-238.19225525615241</v>
      </c>
      <c r="L13" s="187">
        <f>InvestTransactionTable[[#This Row],[Profit]]/InvestTransactionTable[[#This Row],[Invested Value]]</f>
        <v>-0.23719527607176755</v>
      </c>
      <c r="M13" s="188" t="s">
        <v>240</v>
      </c>
      <c r="N13" s="188"/>
      <c r="O13" s="87" t="str">
        <f>TEXT(InvestTransactionTable[[#This Row],[Entry Date]],"MMM-YY")</f>
        <v>Nov-25</v>
      </c>
    </row>
    <row r="14" spans="2:15" x14ac:dyDescent="0.2">
      <c r="B14" s="183">
        <v>45974</v>
      </c>
      <c r="C14" s="184" t="str">
        <f>TEXT(InvestTransactionTable[[#This Row],[Entry Date]],"dddd")</f>
        <v>Thursday</v>
      </c>
      <c r="D14" s="178" t="s">
        <v>132</v>
      </c>
      <c r="E14" s="178" t="str">
        <f>VLOOKUP(InvestTransactionTable[[#This Row],[Stock Name]],AllocationTable[[TRADE]:[TYPE]],3,0)</f>
        <v>Mutual Fund</v>
      </c>
      <c r="F14" s="185">
        <v>93.79</v>
      </c>
      <c r="G14" s="185" t="s">
        <v>178</v>
      </c>
      <c r="H14" s="186">
        <v>10.71</v>
      </c>
      <c r="I14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1004.4909000000001</v>
      </c>
      <c r="J14" s="186">
        <f>VLOOKUP(InvestTransactionTable[[#This Row],[Stock Name]],AllocationTable[[TRADE]:[LTP]],6,0)*InvestTransactionTable[[#This Row],[Quantity]]</f>
        <v>963.58257977699816</v>
      </c>
      <c r="K14" s="186">
        <f>InvestTransactionTable[[#This Row],[Current Value]]-InvestTransactionTable[[#This Row],[Invested Value]]</f>
        <v>-40.908320223001965</v>
      </c>
      <c r="L14" s="187">
        <f>InvestTransactionTable[[#This Row],[Profit]]/InvestTransactionTable[[#This Row],[Invested Value]]</f>
        <v>-4.0725426405557243E-2</v>
      </c>
      <c r="M14" s="188" t="s">
        <v>240</v>
      </c>
      <c r="N14" s="188"/>
      <c r="O14" s="87" t="str">
        <f>TEXT(InvestTransactionTable[[#This Row],[Entry Date]],"MMM-YY")</f>
        <v>Nov-25</v>
      </c>
    </row>
    <row r="15" spans="2:15" x14ac:dyDescent="0.2">
      <c r="B15" s="183">
        <v>45978</v>
      </c>
      <c r="C15" s="184" t="str">
        <f>TEXT(InvestTransactionTable[[#This Row],[Entry Date]],"dddd")</f>
        <v>Monday</v>
      </c>
      <c r="D15" s="178" t="s">
        <v>129</v>
      </c>
      <c r="E15" s="178" t="str">
        <f>VLOOKUP(InvestTransactionTable[[#This Row],[Stock Name]],AllocationTable[[TRADE]:[TYPE]],3,0)</f>
        <v>Mutual Fund</v>
      </c>
      <c r="F15" s="185">
        <v>4.45</v>
      </c>
      <c r="G15" s="185" t="s">
        <v>178</v>
      </c>
      <c r="H15" s="186">
        <v>225.64</v>
      </c>
      <c r="I15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1004.098</v>
      </c>
      <c r="J15" s="186">
        <f>VLOOKUP(InvestTransactionTable[[#This Row],[Stock Name]],AllocationTable[[TRADE]:[LTP]],6,0)*InvestTransactionTable[[#This Row],[Quantity]]</f>
        <v>821.87368552547457</v>
      </c>
      <c r="K15" s="186">
        <f>InvestTransactionTable[[#This Row],[Current Value]]-InvestTransactionTable[[#This Row],[Invested Value]]</f>
        <v>-182.22431447452539</v>
      </c>
      <c r="L15" s="187">
        <f>InvestTransactionTable[[#This Row],[Profit]]/InvestTransactionTable[[#This Row],[Invested Value]]</f>
        <v>-0.18148060694725554</v>
      </c>
      <c r="M15" s="188" t="s">
        <v>240</v>
      </c>
      <c r="N15" s="188"/>
      <c r="O15" s="87" t="str">
        <f>TEXT(InvestTransactionTable[[#This Row],[Entry Date]],"MMM-YY")</f>
        <v>Nov-25</v>
      </c>
    </row>
    <row r="16" spans="2:15" x14ac:dyDescent="0.2">
      <c r="B16" s="183">
        <v>45978</v>
      </c>
      <c r="C16" s="184" t="str">
        <f>TEXT(InvestTransactionTable[[#This Row],[Entry Date]],"dddd")</f>
        <v>Monday</v>
      </c>
      <c r="D16" s="178" t="s">
        <v>134</v>
      </c>
      <c r="E16" s="178" t="str">
        <f>VLOOKUP(InvestTransactionTable[[#This Row],[Stock Name]],AllocationTable[[TRADE]:[TYPE]],3,0)</f>
        <v>Mutual Fund</v>
      </c>
      <c r="F16" s="185">
        <v>10.6</v>
      </c>
      <c r="G16" s="185" t="s">
        <v>178</v>
      </c>
      <c r="H16" s="186">
        <v>94.51</v>
      </c>
      <c r="I16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1001.806</v>
      </c>
      <c r="J16" s="186">
        <f>VLOOKUP(InvestTransactionTable[[#This Row],[Stock Name]],AllocationTable[[TRADE]:[LTP]],6,0)*InvestTransactionTable[[#This Row],[Quantity]]</f>
        <v>703.32275222659541</v>
      </c>
      <c r="K16" s="186">
        <f>InvestTransactionTable[[#This Row],[Current Value]]-InvestTransactionTable[[#This Row],[Invested Value]]</f>
        <v>-298.48324777340463</v>
      </c>
      <c r="L16" s="187">
        <f>InvestTransactionTable[[#This Row],[Profit]]/InvestTransactionTable[[#This Row],[Invested Value]]</f>
        <v>-0.29794515881658185</v>
      </c>
      <c r="M16" s="188" t="s">
        <v>240</v>
      </c>
      <c r="N16" s="188"/>
      <c r="O16" s="87" t="str">
        <f>TEXT(InvestTransactionTable[[#This Row],[Entry Date]],"MMM-YY")</f>
        <v>Nov-25</v>
      </c>
    </row>
    <row r="17" spans="2:15" x14ac:dyDescent="0.2">
      <c r="B17" s="183">
        <v>45980</v>
      </c>
      <c r="C17" s="184" t="str">
        <f>TEXT(InvestTransactionTable[[#This Row],[Entry Date]],"dddd")</f>
        <v>Wednesday</v>
      </c>
      <c r="D17" s="178" t="s">
        <v>132</v>
      </c>
      <c r="E17" s="178" t="str">
        <f>VLOOKUP(InvestTransactionTable[[#This Row],[Stock Name]],AllocationTable[[TRADE]:[TYPE]],3,0)</f>
        <v>Mutual Fund</v>
      </c>
      <c r="F17" s="185">
        <v>92.95</v>
      </c>
      <c r="G17" s="185" t="s">
        <v>178</v>
      </c>
      <c r="H17" s="186">
        <v>10.81</v>
      </c>
      <c r="I17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1004.7895000000001</v>
      </c>
      <c r="J17" s="186">
        <f>VLOOKUP(InvestTransactionTable[[#This Row],[Stock Name]],AllocationTable[[TRADE]:[LTP]],6,0)*InvestTransactionTable[[#This Row],[Quantity]]</f>
        <v>954.95256200311314</v>
      </c>
      <c r="K17" s="186">
        <f>InvestTransactionTable[[#This Row],[Current Value]]-InvestTransactionTable[[#This Row],[Invested Value]]</f>
        <v>-49.836937996886945</v>
      </c>
      <c r="L17" s="187">
        <f>InvestTransactionTable[[#This Row],[Profit]]/InvestTransactionTable[[#This Row],[Invested Value]]</f>
        <v>-4.9599381757957202E-2</v>
      </c>
      <c r="M17" s="188" t="s">
        <v>240</v>
      </c>
      <c r="N17" s="188"/>
      <c r="O17" s="87" t="str">
        <f>TEXT(InvestTransactionTable[[#This Row],[Entry Date]],"MMM-YY")</f>
        <v>Nov-25</v>
      </c>
    </row>
    <row r="18" spans="2:15" x14ac:dyDescent="0.2">
      <c r="B18" s="183">
        <v>45982</v>
      </c>
      <c r="C18" s="184" t="str">
        <f>TEXT(InvestTransactionTable[[#This Row],[Entry Date]],"dddd")</f>
        <v>Friday</v>
      </c>
      <c r="D18" s="178" t="s">
        <v>133</v>
      </c>
      <c r="E18" s="178" t="str">
        <f>VLOOKUP(InvestTransactionTable[[#This Row],[Stock Name]],AllocationTable[[TRADE]:[TYPE]],3,0)</f>
        <v>Mutual Fund</v>
      </c>
      <c r="F18" s="185">
        <v>1.74</v>
      </c>
      <c r="G18" s="185" t="s">
        <v>178</v>
      </c>
      <c r="H18" s="186">
        <v>575.78</v>
      </c>
      <c r="I18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1001.8571999999999</v>
      </c>
      <c r="J18" s="186">
        <f>VLOOKUP(InvestTransactionTable[[#This Row],[Stock Name]],AllocationTable[[TRADE]:[LTP]],6,0)*InvestTransactionTable[[#This Row],[Quantity]]</f>
        <v>757.30627491721305</v>
      </c>
      <c r="K18" s="186">
        <f>InvestTransactionTable[[#This Row],[Current Value]]-InvestTransactionTable[[#This Row],[Invested Value]]</f>
        <v>-244.55092508278688</v>
      </c>
      <c r="L18" s="187">
        <f>InvestTransactionTable[[#This Row],[Profit]]/InvestTransactionTable[[#This Row],[Invested Value]]</f>
        <v>-0.24409758704412854</v>
      </c>
      <c r="M18" s="188" t="s">
        <v>240</v>
      </c>
      <c r="N18" s="188"/>
      <c r="O18" s="87" t="str">
        <f>TEXT(InvestTransactionTable[[#This Row],[Entry Date]],"MMM-YY")</f>
        <v>Nov-25</v>
      </c>
    </row>
    <row r="19" spans="2:15" x14ac:dyDescent="0.2">
      <c r="B19" s="183">
        <v>45985</v>
      </c>
      <c r="C19" s="184" t="str">
        <f>TEXT(InvestTransactionTable[[#This Row],[Entry Date]],"dddd")</f>
        <v>Monday</v>
      </c>
      <c r="D19" s="178" t="s">
        <v>130</v>
      </c>
      <c r="E19" s="178" t="str">
        <f>VLOOKUP(InvestTransactionTable[[#This Row],[Stock Name]],AllocationTable[[TRADE]:[TYPE]],3,0)</f>
        <v>Mutual Fund</v>
      </c>
      <c r="F19" s="185">
        <v>98.71</v>
      </c>
      <c r="G19" s="185" t="s">
        <v>178</v>
      </c>
      <c r="H19" s="186">
        <v>10.15</v>
      </c>
      <c r="I19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1001.9064999999999</v>
      </c>
      <c r="J19" s="186">
        <f>VLOOKUP(InvestTransactionTable[[#This Row],[Stock Name]],AllocationTable[[TRADE]:[LTP]],6,0)*InvestTransactionTable[[#This Row],[Quantity]]</f>
        <v>979.29457569289389</v>
      </c>
      <c r="K19" s="186">
        <f>InvestTransactionTable[[#This Row],[Current Value]]-InvestTransactionTable[[#This Row],[Invested Value]]</f>
        <v>-22.611924307106051</v>
      </c>
      <c r="L19" s="187">
        <f>InvestTransactionTable[[#This Row],[Profit]]/InvestTransactionTable[[#This Row],[Invested Value]]</f>
        <v>-2.2568896705536946E-2</v>
      </c>
      <c r="M19" s="188" t="s">
        <v>240</v>
      </c>
      <c r="N19" s="188"/>
      <c r="O19" s="87" t="str">
        <f>TEXT(InvestTransactionTable[[#This Row],[Entry Date]],"MMM-YY")</f>
        <v>Nov-25</v>
      </c>
    </row>
    <row r="20" spans="2:15" x14ac:dyDescent="0.2">
      <c r="B20" s="183">
        <v>45985</v>
      </c>
      <c r="C20" s="184" t="str">
        <f>TEXT(InvestTransactionTable[[#This Row],[Entry Date]],"dddd")</f>
        <v>Monday</v>
      </c>
      <c r="D20" s="178" t="s">
        <v>129</v>
      </c>
      <c r="E20" s="178" t="str">
        <f>VLOOKUP(InvestTransactionTable[[#This Row],[Stock Name]],AllocationTable[[TRADE]:[TYPE]],3,0)</f>
        <v>Mutual Fund</v>
      </c>
      <c r="F20" s="185">
        <v>4.4000000000000004</v>
      </c>
      <c r="G20" s="185" t="s">
        <v>178</v>
      </c>
      <c r="H20" s="186">
        <v>228.01</v>
      </c>
      <c r="I20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1003.244</v>
      </c>
      <c r="J20" s="186">
        <f>VLOOKUP(InvestTransactionTable[[#This Row],[Stock Name]],AllocationTable[[TRADE]:[LTP]],6,0)*InvestTransactionTable[[#This Row],[Quantity]]</f>
        <v>812.6391497330535</v>
      </c>
      <c r="K20" s="186">
        <f>InvestTransactionTable[[#This Row],[Current Value]]-InvestTransactionTable[[#This Row],[Invested Value]]</f>
        <v>-190.60485026694653</v>
      </c>
      <c r="L20" s="187">
        <f>InvestTransactionTable[[#This Row],[Profit]]/InvestTransactionTable[[#This Row],[Invested Value]]</f>
        <v>-0.18998852748378911</v>
      </c>
      <c r="M20" s="188" t="s">
        <v>240</v>
      </c>
      <c r="N20" s="188"/>
      <c r="O20" s="87" t="str">
        <f>TEXT(InvestTransactionTable[[#This Row],[Entry Date]],"MMM-YY")</f>
        <v>Nov-25</v>
      </c>
    </row>
    <row r="21" spans="2:15" x14ac:dyDescent="0.2">
      <c r="B21" s="183">
        <v>45986</v>
      </c>
      <c r="C21" s="184" t="str">
        <f>TEXT(InvestTransactionTable[[#This Row],[Entry Date]],"dddd")</f>
        <v>Tuesday</v>
      </c>
      <c r="D21" s="178" t="s">
        <v>132</v>
      </c>
      <c r="E21" s="178" t="str">
        <f>VLOOKUP(InvestTransactionTable[[#This Row],[Stock Name]],AllocationTable[[TRADE]:[TYPE]],3,0)</f>
        <v>Mutual Fund</v>
      </c>
      <c r="F21" s="185">
        <v>96.76</v>
      </c>
      <c r="G21" s="185" t="s">
        <v>178</v>
      </c>
      <c r="H21" s="186">
        <v>10.39</v>
      </c>
      <c r="I21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1005.3364000000001</v>
      </c>
      <c r="J21" s="186">
        <f>VLOOKUP(InvestTransactionTable[[#This Row],[Stock Name]],AllocationTable[[TRADE]:[LTP]],6,0)*InvestTransactionTable[[#This Row],[Quantity]]</f>
        <v>994.09585690609174</v>
      </c>
      <c r="K21" s="186">
        <f>InvestTransactionTable[[#This Row],[Current Value]]-InvestTransactionTable[[#This Row],[Invested Value]]</f>
        <v>-11.2405430939084</v>
      </c>
      <c r="L21" s="187">
        <f>InvestTransactionTable[[#This Row],[Profit]]/InvestTransactionTable[[#This Row],[Invested Value]]</f>
        <v>-1.1180877459433875E-2</v>
      </c>
      <c r="M21" s="188" t="s">
        <v>240</v>
      </c>
      <c r="N21" s="188"/>
      <c r="O21" s="87" t="str">
        <f>TEXT(InvestTransactionTable[[#This Row],[Entry Date]],"MMM-YY")</f>
        <v>Nov-25</v>
      </c>
    </row>
    <row r="22" spans="2:15" x14ac:dyDescent="0.2">
      <c r="B22" s="183">
        <v>45992</v>
      </c>
      <c r="C22" s="184" t="str">
        <f>TEXT(InvestTransactionTable[[#This Row],[Entry Date]],"dddd")</f>
        <v>Monday</v>
      </c>
      <c r="D22" s="178" t="s">
        <v>133</v>
      </c>
      <c r="E22" s="178" t="str">
        <f>VLOOKUP(InvestTransactionTable[[#This Row],[Stock Name]],AllocationTable[[TRADE]:[TYPE]],3,0)</f>
        <v>Mutual Fund</v>
      </c>
      <c r="F22" s="185">
        <v>1.74</v>
      </c>
      <c r="G22" s="185" t="s">
        <v>178</v>
      </c>
      <c r="H22" s="186">
        <v>576.96</v>
      </c>
      <c r="I22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1003.9104000000001</v>
      </c>
      <c r="J22" s="186">
        <f>VLOOKUP(InvestTransactionTable[[#This Row],[Stock Name]],AllocationTable[[TRADE]:[LTP]],6,0)*InvestTransactionTable[[#This Row],[Quantity]]</f>
        <v>757.30627491721305</v>
      </c>
      <c r="K22" s="186">
        <f>InvestTransactionTable[[#This Row],[Current Value]]-InvestTransactionTable[[#This Row],[Invested Value]]</f>
        <v>-246.60412508278705</v>
      </c>
      <c r="L22" s="187">
        <f>InvestTransactionTable[[#This Row],[Profit]]/InvestTransactionTable[[#This Row],[Invested Value]]</f>
        <v>-0.24564356050379299</v>
      </c>
      <c r="M22" s="182" t="s">
        <v>240</v>
      </c>
      <c r="N22" s="188"/>
      <c r="O22" s="87" t="str">
        <f>TEXT(InvestTransactionTable[[#This Row],[Entry Date]],"MMM-YY")</f>
        <v>Dec-25</v>
      </c>
    </row>
    <row r="23" spans="2:15" x14ac:dyDescent="0.2">
      <c r="B23" s="183">
        <v>45992</v>
      </c>
      <c r="C23" s="184" t="str">
        <f>TEXT(InvestTransactionTable[[#This Row],[Entry Date]],"dddd")</f>
        <v>Monday</v>
      </c>
      <c r="D23" s="178" t="s">
        <v>135</v>
      </c>
      <c r="E23" s="178" t="str">
        <f>VLOOKUP(InvestTransactionTable[[#This Row],[Stock Name]],AllocationTable[[TRADE]:[TYPE]],3,0)</f>
        <v>Mutual Fund</v>
      </c>
      <c r="F23" s="185">
        <v>23.69</v>
      </c>
      <c r="G23" s="185" t="s">
        <v>178</v>
      </c>
      <c r="H23" s="186">
        <v>42.21</v>
      </c>
      <c r="I23" s="186">
        <f>IF(InvestTransactionTable[[#This Row],[Buy/Sell]]="Buy",InvestTransactionTable[[#This Row],[Quantity]]*InvestTransactionTable[[#This Row],[Price]],InvestTransactionTable[[#This Row],[Quantity]]*InvestTransactionTable[[#This Row],[Price]]*-1)</f>
        <v>999.95490000000007</v>
      </c>
      <c r="J23" s="186">
        <f>VLOOKUP(InvestTransactionTable[[#This Row],[Stock Name]],AllocationTable[[TRADE]:[LTP]],6,0)*InvestTransactionTable[[#This Row],[Quantity]]</f>
        <v>0</v>
      </c>
      <c r="K23" s="186">
        <f>InvestTransactionTable[[#This Row],[Current Value]]-InvestTransactionTable[[#This Row],[Invested Value]]</f>
        <v>-999.95490000000007</v>
      </c>
      <c r="L23" s="187">
        <f>InvestTransactionTable[[#This Row],[Profit]]/InvestTransactionTable[[#This Row],[Invested Value]]</f>
        <v>-1</v>
      </c>
      <c r="M23" s="182" t="s">
        <v>240</v>
      </c>
      <c r="N23" s="188"/>
      <c r="O23" s="87" t="str">
        <f>TEXT(InvestTransactionTable[[#This Row],[Entry Date]],"MMM-YY")</f>
        <v>Dec-25</v>
      </c>
    </row>
    <row r="24" spans="2:15" x14ac:dyDescent="0.2">
      <c r="B24" s="183">
        <v>45992</v>
      </c>
      <c r="C24" s="184" t="str">
        <f>TEXT(InvestTransactionTable[[#This Row],[Entry Date]],"dddd")</f>
        <v>Monday</v>
      </c>
      <c r="D24" s="178" t="s">
        <v>129</v>
      </c>
      <c r="E24" s="178" t="str">
        <f>VLOOKUP(InvestTransactionTable[[#This Row],[Stock Name]],AllocationTable[[TRADE]:[TYPE]],3,0)</f>
        <v>Mutual Fund</v>
      </c>
      <c r="F24" s="185">
        <v>4.3600000000000003</v>
      </c>
      <c r="G24" s="185" t="s">
        <v>178</v>
      </c>
      <c r="H24" s="186">
        <v>230.3</v>
      </c>
      <c r="I24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1004.1080000000002</v>
      </c>
      <c r="J24" s="186">
        <f>VLOOKUP(InvestTransactionTable[[#This Row],[Stock Name]],AllocationTable[[TRADE]:[LTP]],6,0)*InvestTransactionTable[[#This Row],[Quantity]]</f>
        <v>805.25152109911664</v>
      </c>
      <c r="K24" s="186">
        <f>InvestTransactionTable[[#This Row],[Current Value]]-InvestTransactionTable[[#This Row],[Invested Value]]</f>
        <v>-198.85647890088353</v>
      </c>
      <c r="L24" s="187">
        <f>InvestTransactionTable[[#This Row],[Profit]]/InvestTransactionTable[[#This Row],[Invested Value]]</f>
        <v>-0.1980429185913104</v>
      </c>
      <c r="M24" s="182" t="s">
        <v>240</v>
      </c>
      <c r="N24" s="188"/>
      <c r="O24" s="87" t="str">
        <f>TEXT(InvestTransactionTable[[#This Row],[Entry Date]],"MMM-YY")</f>
        <v>Dec-25</v>
      </c>
    </row>
    <row r="25" spans="2:15" x14ac:dyDescent="0.2">
      <c r="B25" s="183">
        <v>45992</v>
      </c>
      <c r="C25" s="184" t="str">
        <f>TEXT(InvestTransactionTable[[#This Row],[Entry Date]],"dddd")</f>
        <v>Monday</v>
      </c>
      <c r="D25" s="178" t="s">
        <v>137</v>
      </c>
      <c r="E25" s="178" t="str">
        <f>VLOOKUP(InvestTransactionTable[[#This Row],[Stock Name]],AllocationTable[[TRADE]:[TYPE]],3,0)</f>
        <v>Gold MF</v>
      </c>
      <c r="F25" s="185">
        <v>12.66</v>
      </c>
      <c r="G25" s="185" t="s">
        <v>178</v>
      </c>
      <c r="H25" s="186">
        <v>39.49</v>
      </c>
      <c r="I25" s="186">
        <f>IF(InvestTransactionTable[[#This Row],[Buy/Sell]]="Buy",InvestTransactionTable[[#This Row],[Quantity]]*InvestTransactionTable[[#This Row],[Price]],InvestTransactionTable[[#This Row],[Quantity]]*InvestTransactionTable[[#This Row],[Price]]*-1)</f>
        <v>499.94340000000005</v>
      </c>
      <c r="J25" s="186">
        <f>VLOOKUP(InvestTransactionTable[[#This Row],[Stock Name]],AllocationTable[[TRADE]:[LTP]],6,0)*InvestTransactionTable[[#This Row],[Quantity]]</f>
        <v>392.92606550232722</v>
      </c>
      <c r="K25" s="186">
        <f>InvestTransactionTable[[#This Row],[Current Value]]-InvestTransactionTable[[#This Row],[Invested Value]]</f>
        <v>-107.01733449767283</v>
      </c>
      <c r="L25" s="187">
        <f>InvestTransactionTable[[#This Row],[Profit]]/InvestTransactionTable[[#This Row],[Invested Value]]</f>
        <v>-0.21405890046287804</v>
      </c>
      <c r="M25" s="188" t="s">
        <v>240</v>
      </c>
      <c r="N25" s="188"/>
      <c r="O25" s="87" t="str">
        <f>TEXT(InvestTransactionTable[[#This Row],[Entry Date]],"MMM-YY")</f>
        <v>Dec-25</v>
      </c>
    </row>
    <row r="26" spans="2:15" x14ac:dyDescent="0.2">
      <c r="B26" s="183">
        <v>45992</v>
      </c>
      <c r="C26" s="184" t="str">
        <f>TEXT(InvestTransactionTable[[#This Row],[Entry Date]],"dddd")</f>
        <v>Monday</v>
      </c>
      <c r="D26" s="178" t="s">
        <v>126</v>
      </c>
      <c r="E26" s="178" t="str">
        <f>VLOOKUP(InvestTransactionTable[[#This Row],[Stock Name]],AllocationTable[[TRADE]:[TYPE]],3,0)</f>
        <v>Mutual Fund</v>
      </c>
      <c r="F26" s="185">
        <v>8.9600000000000009</v>
      </c>
      <c r="G26" s="185" t="s">
        <v>238</v>
      </c>
      <c r="H26" s="186">
        <v>111.64</v>
      </c>
      <c r="I26" s="186">
        <f>IF(InvestTransactionTable[[#This Row],[Buy/Sell]]="Buy",InvestTransactionTable[[#This Row],[Quantity]]*InvestTransactionTable[[#This Row],[Price]],InvestTransactionTable[[#This Row],[Quantity]]*InvestTransactionTable[[#This Row],[Price]]*-1)</f>
        <v>-1000.2944000000001</v>
      </c>
      <c r="J26" s="186">
        <f>VLOOKUP(InvestTransactionTable[[#This Row],[Stock Name]],AllocationTable[[TRADE]:[LTP]],6,0)*InvestTransactionTable[[#This Row],[Quantity]]</f>
        <v>672.63219226623551</v>
      </c>
      <c r="K26" s="186">
        <f>InvestTransactionTable[[#This Row],[Current Value]]-InvestTransactionTable[[#This Row],[Invested Value]]</f>
        <v>1672.9265922662357</v>
      </c>
      <c r="L26" s="187">
        <f>InvestTransactionTable[[#This Row],[Profit]]/InvestTransactionTable[[#This Row],[Invested Value]]</f>
        <v>-1.6724342276296214</v>
      </c>
      <c r="M26" s="182" t="s">
        <v>241</v>
      </c>
      <c r="N26" s="188"/>
      <c r="O26" s="87" t="str">
        <f>TEXT(InvestTransactionTable[[#This Row],[Entry Date]],"MMM-YY")</f>
        <v>Dec-25</v>
      </c>
    </row>
    <row r="27" spans="2:15" x14ac:dyDescent="0.2">
      <c r="B27" s="183">
        <v>45992</v>
      </c>
      <c r="C27" s="184" t="str">
        <f>TEXT(InvestTransactionTable[[#This Row],[Entry Date]],"dddd")</f>
        <v>Monday</v>
      </c>
      <c r="D27" s="178" t="s">
        <v>134</v>
      </c>
      <c r="E27" s="178" t="str">
        <f>VLOOKUP(InvestTransactionTable[[#This Row],[Stock Name]],AllocationTable[[TRADE]:[TYPE]],3,0)</f>
        <v>Mutual Fund</v>
      </c>
      <c r="F27" s="185">
        <v>10.55</v>
      </c>
      <c r="G27" s="185" t="s">
        <v>178</v>
      </c>
      <c r="H27" s="186">
        <v>94.94</v>
      </c>
      <c r="I27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1001.6170000000001</v>
      </c>
      <c r="J27" s="186">
        <f>VLOOKUP(InvestTransactionTable[[#This Row],[Stock Name]],AllocationTable[[TRADE]:[LTP]],6,0)*InvestTransactionTable[[#This Row],[Quantity]]</f>
        <v>700.00519207458331</v>
      </c>
      <c r="K27" s="186">
        <f>InvestTransactionTable[[#This Row],[Current Value]]-InvestTransactionTable[[#This Row],[Invested Value]]</f>
        <v>-301.61180792541677</v>
      </c>
      <c r="L27" s="187">
        <f>InvestTransactionTable[[#This Row],[Profit]]/InvestTransactionTable[[#This Row],[Invested Value]]</f>
        <v>-0.30112488897993617</v>
      </c>
      <c r="M27" s="182" t="s">
        <v>241</v>
      </c>
      <c r="N27" s="188"/>
      <c r="O27" s="87" t="str">
        <f>TEXT(InvestTransactionTable[[#This Row],[Entry Date]],"MMM-YY")</f>
        <v>Dec-25</v>
      </c>
    </row>
    <row r="28" spans="2:15" x14ac:dyDescent="0.2">
      <c r="B28" s="183">
        <v>45992</v>
      </c>
      <c r="C28" s="184" t="str">
        <f>TEXT(InvestTransactionTable[[#This Row],[Entry Date]],"dddd")</f>
        <v>Monday</v>
      </c>
      <c r="D28" s="178" t="s">
        <v>132</v>
      </c>
      <c r="E28" s="178" t="str">
        <f>VLOOKUP(InvestTransactionTable[[#This Row],[Stock Name]],AllocationTable[[TRADE]:[TYPE]],3,0)</f>
        <v>Mutual Fund</v>
      </c>
      <c r="F28" s="185">
        <v>95.61</v>
      </c>
      <c r="G28" s="185" t="s">
        <v>178</v>
      </c>
      <c r="H28" s="186">
        <v>10.51</v>
      </c>
      <c r="I28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1004.8611</v>
      </c>
      <c r="J28" s="186">
        <f>VLOOKUP(InvestTransactionTable[[#This Row],[Stock Name]],AllocationTable[[TRADE]:[LTP]],6,0)*InvestTransactionTable[[#This Row],[Quantity]]</f>
        <v>982.28095162041575</v>
      </c>
      <c r="K28" s="186">
        <f>InvestTransactionTable[[#This Row],[Current Value]]-InvestTransactionTable[[#This Row],[Invested Value]]</f>
        <v>-22.580148379584216</v>
      </c>
      <c r="L28" s="187">
        <f>InvestTransactionTable[[#This Row],[Profit]]/InvestTransactionTable[[#This Row],[Invested Value]]</f>
        <v>-2.2470915014606713E-2</v>
      </c>
      <c r="M28" s="188" t="s">
        <v>240</v>
      </c>
      <c r="N28" s="188"/>
      <c r="O28" s="87" t="str">
        <f>TEXT(InvestTransactionTable[[#This Row],[Entry Date]],"MMM-YY")</f>
        <v>Dec-25</v>
      </c>
    </row>
    <row r="29" spans="2:15" x14ac:dyDescent="0.2">
      <c r="B29" s="183">
        <v>45994</v>
      </c>
      <c r="C29" s="184" t="str">
        <f>TEXT(InvestTransactionTable[[#This Row],[Entry Date]],"dddd")</f>
        <v>Wednesday</v>
      </c>
      <c r="D29" s="178" t="s">
        <v>127</v>
      </c>
      <c r="E29" s="178" t="str">
        <f>VLOOKUP(InvestTransactionTable[[#This Row],[Stock Name]],AllocationTable[[TRADE]:[TYPE]],3,0)</f>
        <v>Mutual Fund</v>
      </c>
      <c r="F29" s="185">
        <v>8.17</v>
      </c>
      <c r="G29" s="185" t="s">
        <v>178</v>
      </c>
      <c r="H29" s="186">
        <v>122.41</v>
      </c>
      <c r="I29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1000.0897</v>
      </c>
      <c r="J29" s="186">
        <f>VLOOKUP(InvestTransactionTable[[#This Row],[Stock Name]],AllocationTable[[TRADE]:[LTP]],6,0)*InvestTransactionTable[[#This Row],[Quantity]]</f>
        <v>764.59269336375871</v>
      </c>
      <c r="K29" s="186">
        <f>InvestTransactionTable[[#This Row],[Current Value]]-InvestTransactionTable[[#This Row],[Invested Value]]</f>
        <v>-235.49700663624128</v>
      </c>
      <c r="L29" s="187">
        <f>InvestTransactionTable[[#This Row],[Profit]]/InvestTransactionTable[[#This Row],[Invested Value]]</f>
        <v>-0.23547588444940618</v>
      </c>
      <c r="M29" s="182" t="s">
        <v>240</v>
      </c>
      <c r="N29" s="188"/>
      <c r="O29" s="87" t="str">
        <f>TEXT(InvestTransactionTable[[#This Row],[Entry Date]],"MMM-YY")</f>
        <v>Dec-25</v>
      </c>
    </row>
    <row r="30" spans="2:15" x14ac:dyDescent="0.2">
      <c r="B30" s="183">
        <v>45999</v>
      </c>
      <c r="C30" s="184" t="str">
        <f>TEXT(InvestTransactionTable[[#This Row],[Entry Date]],"dddd")</f>
        <v>Monday</v>
      </c>
      <c r="D30" s="178" t="s">
        <v>130</v>
      </c>
      <c r="E30" s="178" t="str">
        <f>VLOOKUP(InvestTransactionTable[[#This Row],[Stock Name]],AllocationTable[[TRADE]:[TYPE]],3,0)</f>
        <v>Mutual Fund</v>
      </c>
      <c r="F30" s="185">
        <v>99.4</v>
      </c>
      <c r="G30" s="185" t="s">
        <v>178</v>
      </c>
      <c r="H30" s="186">
        <v>10.08</v>
      </c>
      <c r="I30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1001.9520000000001</v>
      </c>
      <c r="J30" s="186">
        <f>VLOOKUP(InvestTransactionTable[[#This Row],[Stock Name]],AllocationTable[[TRADE]:[LTP]],6,0)*InvestTransactionTable[[#This Row],[Quantity]]</f>
        <v>986.14001442481685</v>
      </c>
      <c r="K30" s="186">
        <f>InvestTransactionTable[[#This Row],[Current Value]]-InvestTransactionTable[[#This Row],[Invested Value]]</f>
        <v>-15.811985575183257</v>
      </c>
      <c r="L30" s="187">
        <f>InvestTransactionTable[[#This Row],[Profit]]/InvestTransactionTable[[#This Row],[Invested Value]]</f>
        <v>-1.5781180710436483E-2</v>
      </c>
      <c r="M30" s="182" t="s">
        <v>240</v>
      </c>
      <c r="N30" s="188"/>
      <c r="O30" s="87" t="str">
        <f>TEXT(InvestTransactionTable[[#This Row],[Entry Date]],"MMM-YY")</f>
        <v>Dec-25</v>
      </c>
    </row>
    <row r="31" spans="2:15" x14ac:dyDescent="0.2">
      <c r="B31" s="183">
        <v>45999</v>
      </c>
      <c r="C31" s="184" t="str">
        <f>TEXT(InvestTransactionTable[[#This Row],[Entry Date]],"dddd")</f>
        <v>Monday</v>
      </c>
      <c r="D31" s="178" t="s">
        <v>129</v>
      </c>
      <c r="E31" s="178" t="str">
        <f>VLOOKUP(InvestTransactionTable[[#This Row],[Stock Name]],AllocationTable[[TRADE]:[TYPE]],3,0)</f>
        <v>Mutual Fund</v>
      </c>
      <c r="F31" s="185">
        <v>4.3</v>
      </c>
      <c r="G31" s="185" t="s">
        <v>178</v>
      </c>
      <c r="H31" s="186">
        <v>233.35</v>
      </c>
      <c r="I31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1003.405</v>
      </c>
      <c r="J31" s="186">
        <f>VLOOKUP(InvestTransactionTable[[#This Row],[Stock Name]],AllocationTable[[TRADE]:[LTP]],6,0)*InvestTransactionTable[[#This Row],[Quantity]]</f>
        <v>794.17007814821125</v>
      </c>
      <c r="K31" s="186">
        <f>InvestTransactionTable[[#This Row],[Current Value]]-InvestTransactionTable[[#This Row],[Invested Value]]</f>
        <v>-209.23492185178873</v>
      </c>
      <c r="L31" s="187">
        <f>InvestTransactionTable[[#This Row],[Profit]]/InvestTransactionTable[[#This Row],[Invested Value]]</f>
        <v>-0.20852489458572435</v>
      </c>
      <c r="M31" s="182" t="s">
        <v>240</v>
      </c>
      <c r="N31" s="188"/>
      <c r="O31" s="87" t="str">
        <f>TEXT(InvestTransactionTable[[#This Row],[Entry Date]],"MMM-YY")</f>
        <v>Dec-25</v>
      </c>
    </row>
    <row r="32" spans="2:15" x14ac:dyDescent="0.2">
      <c r="B32" s="189">
        <v>45999</v>
      </c>
      <c r="C32" s="190" t="str">
        <f>TEXT(InvestTransactionTable[[#This Row],[Entry Date]],"dddd")</f>
        <v>Monday</v>
      </c>
      <c r="D32" s="191" t="s">
        <v>137</v>
      </c>
      <c r="E32" s="191" t="str">
        <f>VLOOKUP(InvestTransactionTable[[#This Row],[Stock Name]],AllocationTable[[TRADE]:[TYPE]],3,0)</f>
        <v>Gold MF</v>
      </c>
      <c r="F32" s="192">
        <v>12.69</v>
      </c>
      <c r="G32" s="192" t="s">
        <v>178</v>
      </c>
      <c r="H32" s="193">
        <v>39.42</v>
      </c>
      <c r="I32" s="193">
        <f>IF(InvestTransactionTable[[#This Row],[Buy/Sell]]="Buy",InvestTransactionTable[[#This Row],[Quantity]]*InvestTransactionTable[[#This Row],[Price]],InvestTransactionTable[[#This Row],[Quantity]]*InvestTransactionTable[[#This Row],[Price]]*-1)</f>
        <v>500.2398</v>
      </c>
      <c r="J32" s="193">
        <f>VLOOKUP(InvestTransactionTable[[#This Row],[Stock Name]],AllocationTable[[TRADE]:[LTP]],6,0)*InvestTransactionTable[[#This Row],[Quantity]]</f>
        <v>393.85716992294886</v>
      </c>
      <c r="K32" s="193">
        <f>InvestTransactionTable[[#This Row],[Current Value]]-InvestTransactionTable[[#This Row],[Invested Value]]</f>
        <v>-106.38263007705115</v>
      </c>
      <c r="L32" s="194">
        <f>InvestTransactionTable[[#This Row],[Profit]]/InvestTransactionTable[[#This Row],[Invested Value]]</f>
        <v>-0.21266326685132039</v>
      </c>
      <c r="M32" s="182" t="s">
        <v>240</v>
      </c>
      <c r="N32" s="195"/>
      <c r="O32" s="87" t="str">
        <f>TEXT(InvestTransactionTable[[#This Row],[Entry Date]],"MMM-YY")</f>
        <v>Dec-25</v>
      </c>
    </row>
    <row r="33" spans="2:15" x14ac:dyDescent="0.2">
      <c r="B33" s="183">
        <v>45999</v>
      </c>
      <c r="C33" s="184" t="str">
        <f>TEXT(InvestTransactionTable[[#This Row],[Entry Date]],"dddd")</f>
        <v>Monday</v>
      </c>
      <c r="D33" s="178" t="s">
        <v>132</v>
      </c>
      <c r="E33" s="178" t="str">
        <f>VLOOKUP(InvestTransactionTable[[#This Row],[Stock Name]],AllocationTable[[TRADE]:[TYPE]],3,0)</f>
        <v>Mutual Fund</v>
      </c>
      <c r="F33" s="185">
        <v>102.09</v>
      </c>
      <c r="G33" s="185" t="s">
        <v>178</v>
      </c>
      <c r="H33" s="186">
        <v>9.84</v>
      </c>
      <c r="I33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1004.5656</v>
      </c>
      <c r="J33" s="186">
        <f>VLOOKUP(InvestTransactionTable[[#This Row],[Stock Name]],AllocationTable[[TRADE]:[LTP]],6,0)*InvestTransactionTable[[#This Row],[Quantity]]</f>
        <v>1048.8553744475289</v>
      </c>
      <c r="K33" s="186">
        <f>InvestTransactionTable[[#This Row],[Current Value]]-InvestTransactionTable[[#This Row],[Invested Value]]</f>
        <v>44.289774447528885</v>
      </c>
      <c r="L33" s="187">
        <f>InvestTransactionTable[[#This Row],[Profit]]/InvestTransactionTable[[#This Row],[Invested Value]]</f>
        <v>4.4088484064683166E-2</v>
      </c>
      <c r="M33" s="182" t="s">
        <v>240</v>
      </c>
      <c r="N33" s="188"/>
      <c r="O33" s="87" t="str">
        <f>TEXT(InvestTransactionTable[[#This Row],[Entry Date]],"MMM-YY")</f>
        <v>Dec-25</v>
      </c>
    </row>
    <row r="34" spans="2:15" x14ac:dyDescent="0.2">
      <c r="B34" s="183">
        <v>46002</v>
      </c>
      <c r="C34" s="184" t="str">
        <f>TEXT(InvestTransactionTable[[#This Row],[Entry Date]],"dddd")</f>
        <v>Thursday</v>
      </c>
      <c r="D34" s="178" t="s">
        <v>133</v>
      </c>
      <c r="E34" s="178" t="str">
        <f>VLOOKUP(InvestTransactionTable[[#This Row],[Stock Name]],AllocationTable[[TRADE]:[TYPE]],3,0)</f>
        <v>Mutual Fund</v>
      </c>
      <c r="F34" s="185">
        <v>1.75</v>
      </c>
      <c r="G34" s="185" t="s">
        <v>178</v>
      </c>
      <c r="H34" s="186">
        <v>572.54999999999995</v>
      </c>
      <c r="I34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1001.9624999999999</v>
      </c>
      <c r="J34" s="186">
        <f>VLOOKUP(InvestTransactionTable[[#This Row],[Stock Name]],AllocationTable[[TRADE]:[LTP]],6,0)*InvestTransactionTable[[#This Row],[Quantity]]</f>
        <v>761.65860983053028</v>
      </c>
      <c r="K34" s="186">
        <f>InvestTransactionTable[[#This Row],[Current Value]]-InvestTransactionTable[[#This Row],[Invested Value]]</f>
        <v>-240.30389016946958</v>
      </c>
      <c r="L34" s="187">
        <f>InvestTransactionTable[[#This Row],[Profit]]/InvestTransactionTable[[#This Row],[Invested Value]]</f>
        <v>-0.23983321748016478</v>
      </c>
      <c r="M34" s="182" t="s">
        <v>240</v>
      </c>
      <c r="N34" s="188"/>
      <c r="O34" s="87" t="str">
        <f>TEXT(InvestTransactionTable[[#This Row],[Entry Date]],"MMM-YY")</f>
        <v>Dec-25</v>
      </c>
    </row>
    <row r="35" spans="2:15" x14ac:dyDescent="0.2">
      <c r="B35" s="183">
        <v>46006</v>
      </c>
      <c r="C35" s="184" t="str">
        <f>TEXT(InvestTransactionTable[[#This Row],[Entry Date]],"dddd")</f>
        <v>Monday</v>
      </c>
      <c r="D35" s="178" t="s">
        <v>132</v>
      </c>
      <c r="E35" s="178" t="str">
        <f>VLOOKUP(InvestTransactionTable[[#This Row],[Stock Name]],AllocationTable[[TRADE]:[TYPE]],3,0)</f>
        <v>Mutual Fund</v>
      </c>
      <c r="F35" s="185">
        <v>101.47</v>
      </c>
      <c r="G35" s="185" t="s">
        <v>178</v>
      </c>
      <c r="H35" s="186">
        <v>9.9</v>
      </c>
      <c r="I35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1004.553</v>
      </c>
      <c r="J35" s="186">
        <f>VLOOKUP(InvestTransactionTable[[#This Row],[Stock Name]],AllocationTable[[TRADE]:[LTP]],6,0)*InvestTransactionTable[[#This Row],[Quantity]]</f>
        <v>1042.4855994239472</v>
      </c>
      <c r="K35" s="186">
        <f>InvestTransactionTable[[#This Row],[Current Value]]-InvestTransactionTable[[#This Row],[Invested Value]]</f>
        <v>37.932599423947181</v>
      </c>
      <c r="L35" s="187">
        <f>InvestTransactionTable[[#This Row],[Profit]]/InvestTransactionTable[[#This Row],[Invested Value]]</f>
        <v>3.7760675070351871E-2</v>
      </c>
      <c r="M35" s="182" t="s">
        <v>240</v>
      </c>
      <c r="N35" s="188"/>
      <c r="O35" s="87" t="str">
        <f>TEXT(InvestTransactionTable[[#This Row],[Entry Date]],"MMM-YY")</f>
        <v>Dec-25</v>
      </c>
    </row>
    <row r="36" spans="2:15" x14ac:dyDescent="0.2">
      <c r="B36" s="183">
        <v>46006</v>
      </c>
      <c r="C36" s="184" t="str">
        <f>TEXT(InvestTransactionTable[[#This Row],[Entry Date]],"dddd")</f>
        <v>Monday</v>
      </c>
      <c r="D36" s="178" t="s">
        <v>129</v>
      </c>
      <c r="E36" s="178" t="str">
        <f>VLOOKUP(InvestTransactionTable[[#This Row],[Stock Name]],AllocationTable[[TRADE]:[TYPE]],3,0)</f>
        <v>Mutual Fund</v>
      </c>
      <c r="F36" s="185">
        <v>4.29</v>
      </c>
      <c r="G36" s="185" t="s">
        <v>178</v>
      </c>
      <c r="H36" s="186">
        <v>234.25</v>
      </c>
      <c r="I36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1004.9325</v>
      </c>
      <c r="J36" s="186">
        <f>VLOOKUP(InvestTransactionTable[[#This Row],[Stock Name]],AllocationTable[[TRADE]:[LTP]],6,0)*InvestTransactionTable[[#This Row],[Quantity]]</f>
        <v>792.32317098972715</v>
      </c>
      <c r="K36" s="186">
        <f>InvestTransactionTable[[#This Row],[Current Value]]-InvestTransactionTable[[#This Row],[Invested Value]]</f>
        <v>-212.60932901027286</v>
      </c>
      <c r="L36" s="187">
        <f>InvestTransactionTable[[#This Row],[Profit]]/InvestTransactionTable[[#This Row],[Invested Value]]</f>
        <v>-0.21156578079649416</v>
      </c>
      <c r="M36" s="182" t="s">
        <v>240</v>
      </c>
      <c r="N36" s="188"/>
      <c r="O36" s="87" t="str">
        <f>TEXT(InvestTransactionTable[[#This Row],[Entry Date]],"MMM-YY")</f>
        <v>Dec-25</v>
      </c>
    </row>
    <row r="37" spans="2:15" x14ac:dyDescent="0.2">
      <c r="B37" s="183">
        <v>46006</v>
      </c>
      <c r="C37" s="184" t="str">
        <f>TEXT(InvestTransactionTable[[#This Row],[Entry Date]],"dddd")</f>
        <v>Monday</v>
      </c>
      <c r="D37" s="178" t="s">
        <v>137</v>
      </c>
      <c r="E37" s="178" t="str">
        <f>VLOOKUP(InvestTransactionTable[[#This Row],[Stock Name]],AllocationTable[[TRADE]:[TYPE]],3,0)</f>
        <v>Gold MF</v>
      </c>
      <c r="F37" s="185">
        <v>12.2</v>
      </c>
      <c r="G37" s="185" t="s">
        <v>178</v>
      </c>
      <c r="H37" s="186">
        <v>40.97</v>
      </c>
      <c r="I37" s="186">
        <f>IF(InvestTransactionTable[[#This Row],[Buy/Sell]]="Buy",InvestTransactionTable[[#This Row],[Quantity]]*InvestTransactionTable[[#This Row],[Price]],InvestTransactionTable[[#This Row],[Quantity]]*InvestTransactionTable[[#This Row],[Price]]*-1)</f>
        <v>499.83399999999995</v>
      </c>
      <c r="J37" s="186">
        <f>VLOOKUP(InvestTransactionTable[[#This Row],[Stock Name]],AllocationTable[[TRADE]:[LTP]],6,0)*InvestTransactionTable[[#This Row],[Quantity]]</f>
        <v>378.64913105279555</v>
      </c>
      <c r="K37" s="186">
        <f>InvestTransactionTable[[#This Row],[Current Value]]-InvestTransactionTable[[#This Row],[Invested Value]]</f>
        <v>-121.18486894720439</v>
      </c>
      <c r="L37" s="187">
        <f>InvestTransactionTable[[#This Row],[Profit]]/InvestTransactionTable[[#This Row],[Invested Value]]</f>
        <v>-0.24245023137122407</v>
      </c>
      <c r="M37" s="182" t="s">
        <v>240</v>
      </c>
      <c r="N37" s="188"/>
      <c r="O37" s="87" t="str">
        <f>TEXT(InvestTransactionTable[[#This Row],[Entry Date]],"MMM-YY")</f>
        <v>Dec-25</v>
      </c>
    </row>
    <row r="38" spans="2:15" x14ac:dyDescent="0.2">
      <c r="B38" s="183">
        <v>46006</v>
      </c>
      <c r="C38" s="184" t="str">
        <f>TEXT(InvestTransactionTable[[#This Row],[Entry Date]],"dddd")</f>
        <v>Monday</v>
      </c>
      <c r="D38" s="178" t="s">
        <v>134</v>
      </c>
      <c r="E38" s="178" t="str">
        <f>VLOOKUP(InvestTransactionTable[[#This Row],[Stock Name]],AllocationTable[[TRADE]:[TYPE]],3,0)</f>
        <v>Mutual Fund</v>
      </c>
      <c r="F38" s="185">
        <v>10.58</v>
      </c>
      <c r="G38" s="185" t="s">
        <v>178</v>
      </c>
      <c r="H38" s="186">
        <v>94.67</v>
      </c>
      <c r="I38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1001.6086</v>
      </c>
      <c r="J38" s="186">
        <f>VLOOKUP(InvestTransactionTable[[#This Row],[Stock Name]],AllocationTable[[TRADE]:[LTP]],6,0)*InvestTransactionTable[[#This Row],[Quantity]]</f>
        <v>701.99572816579052</v>
      </c>
      <c r="K38" s="186">
        <f>InvestTransactionTable[[#This Row],[Current Value]]-InvestTransactionTable[[#This Row],[Invested Value]]</f>
        <v>-299.6128718342095</v>
      </c>
      <c r="L38" s="187">
        <f>InvestTransactionTable[[#This Row],[Profit]]/InvestTransactionTable[[#This Row],[Invested Value]]</f>
        <v>-0.29913168859992767</v>
      </c>
      <c r="M38" s="182" t="s">
        <v>240</v>
      </c>
      <c r="N38" s="188"/>
      <c r="O38" s="87" t="str">
        <f>TEXT(InvestTransactionTable[[#This Row],[Entry Date]],"MMM-YY")</f>
        <v>Dec-25</v>
      </c>
    </row>
    <row r="39" spans="2:15" x14ac:dyDescent="0.2">
      <c r="B39" s="183">
        <v>46007</v>
      </c>
      <c r="C39" s="184" t="str">
        <f>TEXT(InvestTransactionTable[[#This Row],[Entry Date]],"dddd")</f>
        <v>Tuesday</v>
      </c>
      <c r="D39" s="178" t="s">
        <v>136</v>
      </c>
      <c r="E39" s="178" t="str">
        <f>VLOOKUP(InvestTransactionTable[[#This Row],[Stock Name]],AllocationTable[[TRADE]:[TYPE]],3,0)</f>
        <v>Mutual Fund</v>
      </c>
      <c r="F39" s="185">
        <v>7.3</v>
      </c>
      <c r="G39" s="185" t="s">
        <v>178</v>
      </c>
      <c r="H39" s="186">
        <v>273.76</v>
      </c>
      <c r="I39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1998.4479999999999</v>
      </c>
      <c r="J39" s="186">
        <f>VLOOKUP(InvestTransactionTable[[#This Row],[Stock Name]],AllocationTable[[TRADE]:[LTP]],6,0)*InvestTransactionTable[[#This Row],[Quantity]]</f>
        <v>1299.4003208579652</v>
      </c>
      <c r="K39" s="186">
        <f>InvestTransactionTable[[#This Row],[Current Value]]-InvestTransactionTable[[#This Row],[Invested Value]]</f>
        <v>-699.04767914203467</v>
      </c>
      <c r="L39" s="187">
        <f>InvestTransactionTable[[#This Row],[Profit]]/InvestTransactionTable[[#This Row],[Invested Value]]</f>
        <v>-0.34979528070884741</v>
      </c>
      <c r="M39" s="182" t="s">
        <v>240</v>
      </c>
      <c r="N39" s="188"/>
      <c r="O39" s="87" t="str">
        <f>TEXT(InvestTransactionTable[[#This Row],[Entry Date]],"MMM-YY")</f>
        <v>Dec-25</v>
      </c>
    </row>
    <row r="40" spans="2:15" x14ac:dyDescent="0.2">
      <c r="B40" s="183">
        <v>46007</v>
      </c>
      <c r="C40" s="184" t="str">
        <f>TEXT(InvestTransactionTable[[#This Row],[Entry Date]],"dddd")</f>
        <v>Tuesday</v>
      </c>
      <c r="D40" s="178" t="s">
        <v>128</v>
      </c>
      <c r="E40" s="178" t="str">
        <f>VLOOKUP(InvestTransactionTable[[#This Row],[Stock Name]],AllocationTable[[TRADE]:[TYPE]],3,0)</f>
        <v>Mutual Fund</v>
      </c>
      <c r="F40" s="185">
        <v>2.48</v>
      </c>
      <c r="G40" s="185" t="s">
        <v>178</v>
      </c>
      <c r="H40" s="186">
        <v>805.28</v>
      </c>
      <c r="I40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1997.0944</v>
      </c>
      <c r="J40" s="186">
        <f>VLOOKUP(InvestTransactionTable[[#This Row],[Stock Name]],AllocationTable[[TRADE]:[LTP]],6,0)*InvestTransactionTable[[#This Row],[Quantity]]</f>
        <v>1257.5789191679364</v>
      </c>
      <c r="K40" s="186">
        <f>InvestTransactionTable[[#This Row],[Current Value]]-InvestTransactionTable[[#This Row],[Invested Value]]</f>
        <v>-739.51548083206353</v>
      </c>
      <c r="L40" s="187">
        <f>InvestTransactionTable[[#This Row],[Profit]]/InvestTransactionTable[[#This Row],[Invested Value]]</f>
        <v>-0.37029570601773432</v>
      </c>
      <c r="M40" s="182" t="s">
        <v>240</v>
      </c>
      <c r="N40" s="188"/>
      <c r="O40" s="87" t="str">
        <f>TEXT(InvestTransactionTable[[#This Row],[Entry Date]],"MMM-YY")</f>
        <v>Dec-25</v>
      </c>
    </row>
    <row r="41" spans="2:15" x14ac:dyDescent="0.2">
      <c r="B41" s="183">
        <v>46007</v>
      </c>
      <c r="C41" s="184" t="str">
        <f>TEXT(InvestTransactionTable[[#This Row],[Entry Date]],"dddd")</f>
        <v>Tuesday</v>
      </c>
      <c r="D41" s="178" t="s">
        <v>131</v>
      </c>
      <c r="E41" s="178" t="str">
        <f>VLOOKUP(InvestTransactionTable[[#This Row],[Stock Name]],AllocationTable[[TRADE]:[TYPE]],3,0)</f>
        <v>Mutual Fund</v>
      </c>
      <c r="F41" s="185">
        <v>22.75</v>
      </c>
      <c r="G41" s="185" t="s">
        <v>178</v>
      </c>
      <c r="H41" s="186">
        <v>175.81</v>
      </c>
      <c r="I41" s="186">
        <f>IF(InvestTransactionTable[[#This Row],[Buy/Sell]]="Buy",InvestTransactionTable[[#This Row],[Quantity]]*InvestTransactionTable[[#This Row],[Price]],InvestTransactionTable[[#This Row],[Quantity]]*InvestTransactionTable[[#This Row],[Price]]*-1)</f>
        <v>3999.6775000000002</v>
      </c>
      <c r="J41" s="186">
        <f>VLOOKUP(InvestTransactionTable[[#This Row],[Stock Name]],AllocationTable[[TRADE]:[LTP]],6,0)*InvestTransactionTable[[#This Row],[Quantity]]</f>
        <v>2874.9617863824706</v>
      </c>
      <c r="K41" s="186">
        <f>InvestTransactionTable[[#This Row],[Current Value]]-InvestTransactionTable[[#This Row],[Invested Value]]</f>
        <v>-1124.7157136175297</v>
      </c>
      <c r="L41" s="187">
        <f>InvestTransactionTable[[#This Row],[Profit]]/InvestTransactionTable[[#This Row],[Invested Value]]</f>
        <v>-0.28120160028340524</v>
      </c>
      <c r="M41" s="182" t="s">
        <v>240</v>
      </c>
      <c r="N41" s="188"/>
      <c r="O41" s="87" t="str">
        <f>TEXT(InvestTransactionTable[[#This Row],[Entry Date]],"MMM-YY")</f>
        <v>Dec-25</v>
      </c>
    </row>
    <row r="42" spans="2:15" x14ac:dyDescent="0.2">
      <c r="B42" s="176">
        <v>46014</v>
      </c>
      <c r="C42" s="177" t="str">
        <f>TEXT(InvestTransactionTable[[#This Row],[Entry Date]],"dddd")</f>
        <v>Tuesday</v>
      </c>
      <c r="D42" s="178" t="s">
        <v>132</v>
      </c>
      <c r="E42" s="178" t="str">
        <f>VLOOKUP(InvestTransactionTable[[#This Row],[Stock Name]],AllocationTable[[TRADE]:[TYPE]],3,0)</f>
        <v>Mutual Fund</v>
      </c>
      <c r="F42" s="179">
        <v>491.55</v>
      </c>
      <c r="G42" s="179" t="s">
        <v>178</v>
      </c>
      <c r="H42" s="180">
        <v>10.17</v>
      </c>
      <c r="I42" s="180">
        <f>IF(InvestTransactionTable[[#This Row],[Buy/Sell]]="Buy",InvestTransactionTable[[#This Row],[Quantity]]*InvestTransactionTable[[#This Row],[Price]],InvestTransactionTable[[#This Row],[Quantity]]*InvestTransactionTable[[#This Row],[Price]]*-1)</f>
        <v>4999.0635000000002</v>
      </c>
      <c r="J42" s="180">
        <f>VLOOKUP(InvestTransactionTable[[#This Row],[Stock Name]],AllocationTable[[TRADE]:[LTP]],6,0)*InvestTransactionTable[[#This Row],[Quantity]]</f>
        <v>5050.101472325231</v>
      </c>
      <c r="K42" s="180">
        <f>InvestTransactionTable[[#This Row],[Current Value]]-InvestTransactionTable[[#This Row],[Invested Value]]</f>
        <v>51.037972325230839</v>
      </c>
      <c r="L42" s="181">
        <f>InvestTransactionTable[[#This Row],[Profit]]/InvestTransactionTable[[#This Row],[Invested Value]]</f>
        <v>1.0209506705652136E-2</v>
      </c>
      <c r="M42" s="182" t="s">
        <v>240</v>
      </c>
      <c r="N42" s="182"/>
      <c r="O42" s="87" t="str">
        <f>TEXT(InvestTransactionTable[[#This Row],[Entry Date]],"MMM-YY")</f>
        <v>Dec-25</v>
      </c>
    </row>
    <row r="43" spans="2:15" x14ac:dyDescent="0.2">
      <c r="B43" s="183">
        <v>46021</v>
      </c>
      <c r="C43" s="184" t="str">
        <f>TEXT(InvestTransactionTable[[#This Row],[Entry Date]],"dddd")</f>
        <v>Tuesday</v>
      </c>
      <c r="D43" s="178" t="s">
        <v>132</v>
      </c>
      <c r="E43" s="178" t="str">
        <f>VLOOKUP(InvestTransactionTable[[#This Row],[Stock Name]],AllocationTable[[TRADE]:[TYPE]],3,0)</f>
        <v>Mutual Fund</v>
      </c>
      <c r="F43" s="185">
        <v>622.91</v>
      </c>
      <c r="G43" s="185" t="s">
        <v>238</v>
      </c>
      <c r="H43" s="186">
        <v>10.01</v>
      </c>
      <c r="I43" s="186">
        <f>IF(InvestTransactionTable[[#This Row],[Buy/Sell]]="Buy",InvestTransactionTable[[#This Row],[Quantity]]*InvestTransactionTable[[#This Row],[Price]],InvestTransactionTable[[#This Row],[Quantity]]*InvestTransactionTable[[#This Row],[Price]]*-1)</f>
        <v>-6235.3290999999999</v>
      </c>
      <c r="J43" s="186">
        <f>VLOOKUP(InvestTransactionTable[[#This Row],[Stock Name]],AllocationTable[[TRADE]:[LTP]],6,0)*InvestTransactionTable[[#This Row],[Quantity]]</f>
        <v>6399.6718708699209</v>
      </c>
      <c r="K43" s="186">
        <f>InvestTransactionTable[[#This Row],[Current Value]]-InvestTransactionTable[[#This Row],[Invested Value]]</f>
        <v>12635.000970869922</v>
      </c>
      <c r="L43" s="187">
        <f>InvestTransactionTable[[#This Row],[Profit]]/InvestTransactionTable[[#This Row],[Invested Value]]</f>
        <v>-2.0263567116080403</v>
      </c>
      <c r="M43" s="182" t="s">
        <v>240</v>
      </c>
      <c r="N43" s="188"/>
      <c r="O43" s="87" t="str">
        <f>TEXT(InvestTransactionTable[[#This Row],[Entry Date]],"MMM-YY")</f>
        <v>Dec-25</v>
      </c>
    </row>
    <row r="44" spans="2:15" x14ac:dyDescent="0.2">
      <c r="B44" s="183">
        <v>46021</v>
      </c>
      <c r="C44" s="184" t="str">
        <f>TEXT(InvestTransactionTable[[#This Row],[Entry Date]],"dddd")</f>
        <v>Tuesday</v>
      </c>
      <c r="D44" s="178" t="s">
        <v>258</v>
      </c>
      <c r="E44" s="178" t="str">
        <f>VLOOKUP(InvestTransactionTable[[#This Row],[Stock Name]],AllocationTable[[TRADE]:[TYPE]],3,0)</f>
        <v>Mutual Fund</v>
      </c>
      <c r="F44" s="185">
        <v>57.78</v>
      </c>
      <c r="G44" s="185" t="s">
        <v>178</v>
      </c>
      <c r="H44" s="186">
        <v>34.61</v>
      </c>
      <c r="I44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1999.7657999999999</v>
      </c>
      <c r="J44" s="186">
        <f>VLOOKUP(InvestTransactionTable[[#This Row],[Stock Name]],AllocationTable[[TRADE]:[LTP]],6,0)*InvestTransactionTable[[#This Row],[Quantity]]</f>
        <v>1866.3927035337028</v>
      </c>
      <c r="K44" s="186">
        <f>InvestTransactionTable[[#This Row],[Current Value]]-InvestTransactionTable[[#This Row],[Invested Value]]</f>
        <v>-133.37309646629706</v>
      </c>
      <c r="L44" s="187">
        <f>InvestTransactionTable[[#This Row],[Profit]]/InvestTransactionTable[[#This Row],[Invested Value]]</f>
        <v>-6.6694358142487017E-2</v>
      </c>
      <c r="M44" s="182" t="s">
        <v>240</v>
      </c>
      <c r="N44" s="188"/>
      <c r="O44" s="87" t="str">
        <f>TEXT(InvestTransactionTable[[#This Row],[Entry Date]],"MMM-YY")</f>
        <v>Dec-25</v>
      </c>
    </row>
    <row r="45" spans="2:15" x14ac:dyDescent="0.2">
      <c r="B45" s="183">
        <v>46021</v>
      </c>
      <c r="C45" s="184" t="str">
        <f>TEXT(InvestTransactionTable[[#This Row],[Entry Date]],"dddd")</f>
        <v>Tuesday</v>
      </c>
      <c r="D45" s="178" t="s">
        <v>132</v>
      </c>
      <c r="E45" s="178" t="str">
        <f>VLOOKUP(InvestTransactionTable[[#This Row],[Stock Name]],AllocationTable[[TRADE]:[TYPE]],3,0)</f>
        <v>Mutual Fund</v>
      </c>
      <c r="F45" s="185">
        <v>530.04</v>
      </c>
      <c r="G45" s="185" t="s">
        <v>238</v>
      </c>
      <c r="H45" s="186">
        <v>10.01</v>
      </c>
      <c r="I45" s="186">
        <f>IF(InvestTransactionTable[[#This Row],[Buy/Sell]]="Buy",InvestTransactionTable[[#This Row],[Quantity]]*InvestTransactionTable[[#This Row],[Price]],InvestTransactionTable[[#This Row],[Quantity]]*InvestTransactionTable[[#This Row],[Price]]*-1)</f>
        <v>-5305.7003999999997</v>
      </c>
      <c r="J45" s="186">
        <f>VLOOKUP(InvestTransactionTable[[#This Row],[Stock Name]],AllocationTable[[TRADE]:[LTP]],6,0)*InvestTransactionTable[[#This Row],[Quantity]]</f>
        <v>5445.5412153214629</v>
      </c>
      <c r="K45" s="186">
        <f>InvestTransactionTable[[#This Row],[Current Value]]-InvestTransactionTable[[#This Row],[Invested Value]]</f>
        <v>10751.241615321462</v>
      </c>
      <c r="L45" s="187">
        <f>InvestTransactionTable[[#This Row],[Profit]]/InvestTransactionTable[[#This Row],[Invested Value]]</f>
        <v>-2.0263567116080399</v>
      </c>
      <c r="M45" s="182" t="s">
        <v>240</v>
      </c>
      <c r="N45" s="188"/>
      <c r="O45" s="87" t="str">
        <f>TEXT(InvestTransactionTable[[#This Row],[Entry Date]],"MMM-YY")</f>
        <v>Dec-25</v>
      </c>
    </row>
    <row r="46" spans="2:15" x14ac:dyDescent="0.2">
      <c r="B46" s="183">
        <v>46021</v>
      </c>
      <c r="C46" s="184" t="str">
        <f>TEXT(InvestTransactionTable[[#This Row],[Entry Date]],"dddd")</f>
        <v>Tuesday</v>
      </c>
      <c r="D46" s="178" t="s">
        <v>132</v>
      </c>
      <c r="E46" s="178" t="str">
        <f>VLOOKUP(InvestTransactionTable[[#This Row],[Stock Name]],AllocationTable[[TRADE]:[TYPE]],3,0)</f>
        <v>Mutual Fund</v>
      </c>
      <c r="F46" s="185">
        <v>518.01</v>
      </c>
      <c r="G46" s="185" t="s">
        <v>238</v>
      </c>
      <c r="H46" s="186">
        <v>10.01</v>
      </c>
      <c r="I46" s="186">
        <f>IF(InvestTransactionTable[[#This Row],[Buy/Sell]]="Buy",InvestTransactionTable[[#This Row],[Quantity]]*InvestTransactionTable[[#This Row],[Price]],InvestTransactionTable[[#This Row],[Quantity]]*InvestTransactionTable[[#This Row],[Price]]*-1)</f>
        <v>-5185.2800999999999</v>
      </c>
      <c r="J46" s="186">
        <f>VLOOKUP(InvestTransactionTable[[#This Row],[Stock Name]],AllocationTable[[TRADE]:[LTP]],6,0)*InvestTransactionTable[[#This Row],[Quantity]]</f>
        <v>5321.94703220261</v>
      </c>
      <c r="K46" s="186">
        <f>InvestTransactionTable[[#This Row],[Current Value]]-InvestTransactionTable[[#This Row],[Invested Value]]</f>
        <v>10507.22713220261</v>
      </c>
      <c r="L46" s="187">
        <f>InvestTransactionTable[[#This Row],[Profit]]/InvestTransactionTable[[#This Row],[Invested Value]]</f>
        <v>-2.0263567116080403</v>
      </c>
      <c r="M46" s="182" t="s">
        <v>240</v>
      </c>
      <c r="N46" s="188"/>
      <c r="O46" s="87" t="str">
        <f>TEXT(InvestTransactionTable[[#This Row],[Entry Date]],"MMM-YY")</f>
        <v>Dec-25</v>
      </c>
    </row>
    <row r="47" spans="2:15" x14ac:dyDescent="0.2">
      <c r="B47" s="183">
        <v>46021</v>
      </c>
      <c r="C47" s="184" t="str">
        <f>TEXT(InvestTransactionTable[[#This Row],[Entry Date]],"dddd")</f>
        <v>Tuesday</v>
      </c>
      <c r="D47" s="178" t="s">
        <v>132</v>
      </c>
      <c r="E47" s="178" t="str">
        <f>VLOOKUP(InvestTransactionTable[[#This Row],[Stock Name]],AllocationTable[[TRADE]:[TYPE]],3,0)</f>
        <v>Mutual Fund</v>
      </c>
      <c r="F47" s="185">
        <v>589.84</v>
      </c>
      <c r="G47" s="185" t="s">
        <v>238</v>
      </c>
      <c r="H47" s="186">
        <v>10.01</v>
      </c>
      <c r="I47" s="186">
        <f>IF(InvestTransactionTable[[#This Row],[Buy/Sell]]="Buy",InvestTransactionTable[[#This Row],[Quantity]]*InvestTransactionTable[[#This Row],[Price]],InvestTransactionTable[[#This Row],[Quantity]]*InvestTransactionTable[[#This Row],[Price]]*-1)</f>
        <v>-5904.2984000000006</v>
      </c>
      <c r="J47" s="186">
        <f>VLOOKUP(InvestTransactionTable[[#This Row],[Stock Name]],AllocationTable[[TRADE]:[LTP]],6,0)*InvestTransactionTable[[#This Row],[Quantity]]</f>
        <v>6059.916290176614</v>
      </c>
      <c r="K47" s="186">
        <f>InvestTransactionTable[[#This Row],[Current Value]]-InvestTransactionTable[[#This Row],[Invested Value]]</f>
        <v>11964.214690176614</v>
      </c>
      <c r="L47" s="187">
        <f>InvestTransactionTable[[#This Row],[Profit]]/InvestTransactionTable[[#This Row],[Invested Value]]</f>
        <v>-2.0263567116080399</v>
      </c>
      <c r="M47" s="182" t="s">
        <v>240</v>
      </c>
      <c r="N47" s="188"/>
      <c r="O47" s="87" t="str">
        <f>TEXT(InvestTransactionTable[[#This Row],[Entry Date]],"MMM-YY")</f>
        <v>Dec-25</v>
      </c>
    </row>
    <row r="48" spans="2:15" x14ac:dyDescent="0.2">
      <c r="B48" s="183">
        <v>46022</v>
      </c>
      <c r="C48" s="184" t="str">
        <f>TEXT(InvestTransactionTable[[#This Row],[Entry Date]],"dddd")</f>
        <v>Wednesday</v>
      </c>
      <c r="D48" s="178" t="s">
        <v>132</v>
      </c>
      <c r="E48" s="178" t="str">
        <f>VLOOKUP(InvestTransactionTable[[#This Row],[Stock Name]],AllocationTable[[TRADE]:[TYPE]],3,0)</f>
        <v>Mutual Fund</v>
      </c>
      <c r="F48" s="185">
        <v>295.61</v>
      </c>
      <c r="G48" s="185" t="s">
        <v>178</v>
      </c>
      <c r="H48" s="186">
        <v>10.15</v>
      </c>
      <c r="I48" s="186">
        <f>IF(InvestTransactionTable[[#This Row],[Buy/Sell]]="Buy",InvestTransactionTable[[#This Row],[Quantity]]*InvestTransactionTable[[#This Row],[Price]],InvestTransactionTable[[#This Row],[Quantity]]*InvestTransactionTable[[#This Row],[Price]]*-1)</f>
        <v>3000.4415000000004</v>
      </c>
      <c r="J48" s="186">
        <f>VLOOKUP(InvestTransactionTable[[#This Row],[Stock Name]],AllocationTable[[TRADE]:[LTP]],6,0)*InvestTransactionTable[[#This Row],[Quantity]]</f>
        <v>3037.0470882597124</v>
      </c>
      <c r="K48" s="186">
        <f>InvestTransactionTable[[#This Row],[Current Value]]-InvestTransactionTable[[#This Row],[Invested Value]]</f>
        <v>36.605588259712022</v>
      </c>
      <c r="L48" s="187">
        <f>InvestTransactionTable[[#This Row],[Profit]]/InvestTransactionTable[[#This Row],[Invested Value]]</f>
        <v>1.2200067309998218E-2</v>
      </c>
      <c r="M48" s="182" t="s">
        <v>240</v>
      </c>
      <c r="N48" s="188"/>
      <c r="O48" s="87" t="str">
        <f>TEXT(InvestTransactionTable[[#This Row],[Entry Date]],"MMM-YY")</f>
        <v>Dec-25</v>
      </c>
    </row>
    <row r="49" spans="2:15" x14ac:dyDescent="0.2">
      <c r="B49" s="183">
        <v>46022</v>
      </c>
      <c r="C49" s="184" t="str">
        <f>TEXT(InvestTransactionTable[[#This Row],[Entry Date]],"dddd")</f>
        <v>Wednesday</v>
      </c>
      <c r="D49" s="178" t="s">
        <v>137</v>
      </c>
      <c r="E49" s="178" t="str">
        <f>VLOOKUP(InvestTransactionTable[[#This Row],[Stock Name]],AllocationTable[[TRADE]:[TYPE]],3,0)</f>
        <v>Gold MF</v>
      </c>
      <c r="F49" s="185">
        <v>98.38</v>
      </c>
      <c r="G49" s="185" t="s">
        <v>178</v>
      </c>
      <c r="H49" s="186">
        <v>40.659999999999997</v>
      </c>
      <c r="I49" s="186">
        <f>IF(InvestTransactionTable[[#This Row],[Buy/Sell]]="Buy",InvestTransactionTable[[#This Row],[Quantity]]*InvestTransactionTable[[#This Row],[Price]],InvestTransactionTable[[#This Row],[Quantity]]*InvestTransactionTable[[#This Row],[Price]]*-1)</f>
        <v>4000.1307999999995</v>
      </c>
      <c r="J49" s="186">
        <f>VLOOKUP(InvestTransactionTable[[#This Row],[Stock Name]],AllocationTable[[TRADE]:[LTP]],6,0)*InvestTransactionTable[[#This Row],[Quantity]]</f>
        <v>3053.4017633585268</v>
      </c>
      <c r="K49" s="186">
        <f>InvestTransactionTable[[#This Row],[Current Value]]-InvestTransactionTable[[#This Row],[Invested Value]]</f>
        <v>-946.7290366414727</v>
      </c>
      <c r="L49" s="187">
        <f>InvestTransactionTable[[#This Row],[Profit]]/InvestTransactionTable[[#This Row],[Invested Value]]</f>
        <v>-0.23667451990356736</v>
      </c>
      <c r="M49" s="182" t="s">
        <v>240</v>
      </c>
      <c r="N49" s="188"/>
      <c r="O49" s="87" t="str">
        <f>TEXT(InvestTransactionTable[[#This Row],[Entry Date]],"MMM-YY")</f>
        <v>Dec-25</v>
      </c>
    </row>
    <row r="50" spans="2:15" x14ac:dyDescent="0.2">
      <c r="B50" s="183">
        <v>46022</v>
      </c>
      <c r="C50" s="184" t="str">
        <f>TEXT(InvestTransactionTable[[#This Row],[Entry Date]],"dddd")</f>
        <v>Wednesday</v>
      </c>
      <c r="D50" s="178" t="s">
        <v>137</v>
      </c>
      <c r="E50" s="178" t="str">
        <f>VLOOKUP(InvestTransactionTable[[#This Row],[Stock Name]],AllocationTable[[TRADE]:[TYPE]],3,0)</f>
        <v>Gold MF</v>
      </c>
      <c r="F50" s="185">
        <v>91.84</v>
      </c>
      <c r="G50" s="185" t="s">
        <v>238</v>
      </c>
      <c r="H50" s="186">
        <v>40.659999999999997</v>
      </c>
      <c r="I50" s="186">
        <f>IF(InvestTransactionTable[[#This Row],[Buy/Sell]]="Buy",InvestTransactionTable[[#This Row],[Quantity]]*InvestTransactionTable[[#This Row],[Price]],InvestTransactionTable[[#This Row],[Quantity]]*InvestTransactionTable[[#This Row],[Price]]*-1)</f>
        <v>-3734.2143999999998</v>
      </c>
      <c r="J50" s="186">
        <f>VLOOKUP(InvestTransactionTable[[#This Row],[Stock Name]],AllocationTable[[TRADE]:[LTP]],6,0)*InvestTransactionTable[[#This Row],[Quantity]]</f>
        <v>2850.420999663012</v>
      </c>
      <c r="K50" s="186">
        <f>InvestTransactionTable[[#This Row],[Current Value]]-InvestTransactionTable[[#This Row],[Invested Value]]</f>
        <v>6584.6353996630114</v>
      </c>
      <c r="L50" s="187">
        <f>InvestTransactionTable[[#This Row],[Profit]]/InvestTransactionTable[[#This Row],[Invested Value]]</f>
        <v>-1.7633254800964324</v>
      </c>
      <c r="M50" s="182" t="s">
        <v>240</v>
      </c>
      <c r="N50" s="188"/>
      <c r="O50" s="87" t="str">
        <f>TEXT(InvestTransactionTable[[#This Row],[Entry Date]],"MMM-YY")</f>
        <v>Dec-25</v>
      </c>
    </row>
    <row r="51" spans="2:15" x14ac:dyDescent="0.2">
      <c r="B51" s="183">
        <v>46023</v>
      </c>
      <c r="C51" s="184" t="str">
        <f>TEXT(InvestTransactionTable[[#This Row],[Entry Date]],"dddd")</f>
        <v>Thursday</v>
      </c>
      <c r="D51" s="178" t="s">
        <v>126</v>
      </c>
      <c r="E51" s="178" t="str">
        <f>VLOOKUP(InvestTransactionTable[[#This Row],[Stock Name]],AllocationTable[[TRADE]:[TYPE]],3,0)</f>
        <v>Mutual Fund</v>
      </c>
      <c r="F51" s="185">
        <v>9.0500000000000007</v>
      </c>
      <c r="G51" s="185" t="s">
        <v>238</v>
      </c>
      <c r="H51" s="186">
        <v>110.55</v>
      </c>
      <c r="I51" s="186">
        <f>IF(InvestTransactionTable[[#This Row],[Buy/Sell]]="Buy",InvestTransactionTable[[#This Row],[Quantity]]*InvestTransactionTable[[#This Row],[Price]],InvestTransactionTable[[#This Row],[Quantity]]*InvestTransactionTable[[#This Row],[Price]]*-1)</f>
        <v>-1000.4775000000001</v>
      </c>
      <c r="J51" s="186">
        <f>VLOOKUP(InvestTransactionTable[[#This Row],[Stock Name]],AllocationTable[[TRADE]:[LTP]],6,0)*InvestTransactionTable[[#This Row],[Quantity]]</f>
        <v>679.38854241176682</v>
      </c>
      <c r="K51" s="186">
        <f>InvestTransactionTable[[#This Row],[Current Value]]-InvestTransactionTable[[#This Row],[Invested Value]]</f>
        <v>1679.866042411767</v>
      </c>
      <c r="L51" s="187">
        <f>InvestTransactionTable[[#This Row],[Profit]]/InvestTransactionTable[[#This Row],[Invested Value]]</f>
        <v>-1.6790642892136673</v>
      </c>
      <c r="M51" s="182" t="s">
        <v>240</v>
      </c>
      <c r="N51" s="188"/>
      <c r="O51" s="87" t="str">
        <f>TEXT(InvestTransactionTable[[#This Row],[Entry Date]],"MMM-YY")</f>
        <v>Jan-26</v>
      </c>
    </row>
    <row r="52" spans="2:15" x14ac:dyDescent="0.2">
      <c r="B52" s="183">
        <v>46024</v>
      </c>
      <c r="C52" s="184" t="str">
        <f>TEXT(InvestTransactionTable[[#This Row],[Entry Date]],"dddd")</f>
        <v>Friday</v>
      </c>
      <c r="D52" s="178" t="s">
        <v>132</v>
      </c>
      <c r="E52" s="178" t="str">
        <f>VLOOKUP(InvestTransactionTable[[#This Row],[Stock Name]],AllocationTable[[TRADE]:[TYPE]],3,0)</f>
        <v>Mutual Fund</v>
      </c>
      <c r="F52" s="185">
        <v>2253.08</v>
      </c>
      <c r="G52" s="185" t="s">
        <v>178</v>
      </c>
      <c r="H52" s="186">
        <v>10.199999999999999</v>
      </c>
      <c r="I52" s="186">
        <f>IF(InvestTransactionTable[[#This Row],[Buy/Sell]]="Buy",InvestTransactionTable[[#This Row],[Quantity]]*InvestTransactionTable[[#This Row],[Price]],InvestTransactionTable[[#This Row],[Quantity]]*InvestTransactionTable[[#This Row],[Price]]*-1)</f>
        <v>22981.415999999997</v>
      </c>
      <c r="J52" s="186">
        <f>VLOOKUP(InvestTransactionTable[[#This Row],[Stock Name]],AllocationTable[[TRADE]:[LTP]],6,0)*InvestTransactionTable[[#This Row],[Quantity]]</f>
        <v>23147.762435696332</v>
      </c>
      <c r="K52" s="186">
        <f>InvestTransactionTable[[#This Row],[Current Value]]-InvestTransactionTable[[#This Row],[Invested Value]]</f>
        <v>166.34643569633408</v>
      </c>
      <c r="L52" s="187">
        <f>InvestTransactionTable[[#This Row],[Profit]]/InvestTransactionTable[[#This Row],[Invested Value]]</f>
        <v>7.2383022741650954E-3</v>
      </c>
      <c r="M52" s="182" t="s">
        <v>240</v>
      </c>
      <c r="N52" s="188"/>
      <c r="O52" s="87" t="str">
        <f>TEXT(InvestTransactionTable[[#This Row],[Entry Date]],"MMM-YY")</f>
        <v>Jan-26</v>
      </c>
    </row>
    <row r="53" spans="2:15" x14ac:dyDescent="0.2">
      <c r="B53" s="183">
        <v>46024</v>
      </c>
      <c r="C53" s="184" t="str">
        <f>TEXT(InvestTransactionTable[[#This Row],[Entry Date]],"dddd")</f>
        <v>Friday</v>
      </c>
      <c r="D53" s="178" t="s">
        <v>137</v>
      </c>
      <c r="E53" s="178" t="str">
        <f>VLOOKUP(InvestTransactionTable[[#This Row],[Stock Name]],AllocationTable[[TRADE]:[TYPE]],3,0)</f>
        <v>Gold MF</v>
      </c>
      <c r="F53" s="185">
        <v>48.36</v>
      </c>
      <c r="G53" s="185" t="s">
        <v>178</v>
      </c>
      <c r="H53" s="186">
        <v>41.36</v>
      </c>
      <c r="I53" s="186">
        <f>IF(InvestTransactionTable[[#This Row],[Buy/Sell]]="Buy",InvestTransactionTable[[#This Row],[Quantity]]*InvestTransactionTable[[#This Row],[Price]],InvestTransactionTable[[#This Row],[Quantity]]*InvestTransactionTable[[#This Row],[Price]]*-1)</f>
        <v>2000.1695999999999</v>
      </c>
      <c r="J53" s="186">
        <f>VLOOKUP(InvestTransactionTable[[#This Row],[Stock Name]],AllocationTable[[TRADE]:[LTP]],6,0)*InvestTransactionTable[[#This Row],[Quantity]]</f>
        <v>1500.9403260420652</v>
      </c>
      <c r="K53" s="186">
        <f>InvestTransactionTable[[#This Row],[Current Value]]-InvestTransactionTable[[#This Row],[Invested Value]]</f>
        <v>-499.22927395793477</v>
      </c>
      <c r="L53" s="187">
        <f>InvestTransactionTable[[#This Row],[Profit]]/InvestTransactionTable[[#This Row],[Invested Value]]</f>
        <v>-0.2495934714525882</v>
      </c>
      <c r="M53" s="182" t="s">
        <v>240</v>
      </c>
      <c r="N53" s="188"/>
      <c r="O53" s="87" t="str">
        <f>TEXT(InvestTransactionTable[[#This Row],[Entry Date]],"MMM-YY")</f>
        <v>Jan-26</v>
      </c>
    </row>
    <row r="54" spans="2:15" x14ac:dyDescent="0.2">
      <c r="B54" s="183">
        <v>46027</v>
      </c>
      <c r="C54" s="184" t="str">
        <f>TEXT(InvestTransactionTable[[#This Row],[Entry Date]],"dddd")</f>
        <v>Monday</v>
      </c>
      <c r="D54" s="178" t="s">
        <v>127</v>
      </c>
      <c r="E54" s="178" t="str">
        <f>VLOOKUP(InvestTransactionTable[[#This Row],[Stock Name]],AllocationTable[[TRADE]:[TYPE]],3,0)</f>
        <v>Mutual Fund</v>
      </c>
      <c r="F54" s="185">
        <v>8.11</v>
      </c>
      <c r="G54" s="185" t="s">
        <v>178</v>
      </c>
      <c r="H54" s="186">
        <v>123.33</v>
      </c>
      <c r="I54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1000.2062999999999</v>
      </c>
      <c r="J54" s="186">
        <f>VLOOKUP(InvestTransactionTable[[#This Row],[Stock Name]],AllocationTable[[TRADE]:[LTP]],6,0)*InvestTransactionTable[[#This Row],[Quantity]]</f>
        <v>758.97756954468582</v>
      </c>
      <c r="K54" s="186">
        <f>InvestTransactionTable[[#This Row],[Current Value]]-InvestTransactionTable[[#This Row],[Invested Value]]</f>
        <v>-241.22873045531412</v>
      </c>
      <c r="L54" s="187">
        <f>InvestTransactionTable[[#This Row],[Profit]]/InvestTransactionTable[[#This Row],[Invested Value]]</f>
        <v>-0.24117897523272364</v>
      </c>
      <c r="M54" s="182" t="s">
        <v>240</v>
      </c>
      <c r="N54" s="188"/>
      <c r="O54" s="87" t="str">
        <f>TEXT(InvestTransactionTable[[#This Row],[Entry Date]],"MMM-YY")</f>
        <v>Jan-26</v>
      </c>
    </row>
    <row r="55" spans="2:15" x14ac:dyDescent="0.2">
      <c r="B55" s="183">
        <v>46029</v>
      </c>
      <c r="C55" s="184" t="str">
        <f>TEXT(InvestTransactionTable[[#This Row],[Entry Date]],"dddd")</f>
        <v>Wednesday</v>
      </c>
      <c r="D55" s="178" t="s">
        <v>130</v>
      </c>
      <c r="E55" s="178" t="str">
        <f>VLOOKUP(InvestTransactionTable[[#This Row],[Stock Name]],AllocationTable[[TRADE]:[TYPE]],3,0)</f>
        <v>Mutual Fund</v>
      </c>
      <c r="F55" s="185">
        <v>193.6</v>
      </c>
      <c r="G55" s="185" t="s">
        <v>178</v>
      </c>
      <c r="H55" s="186">
        <v>10.33</v>
      </c>
      <c r="I55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1999.8879999999999</v>
      </c>
      <c r="J55" s="186">
        <f>VLOOKUP(InvestTransactionTable[[#This Row],[Stock Name]],AllocationTable[[TRADE]:[LTP]],6,0)*InvestTransactionTable[[#This Row],[Quantity]]</f>
        <v>1920.6912152177517</v>
      </c>
      <c r="K55" s="186">
        <f>InvestTransactionTable[[#This Row],[Current Value]]-InvestTransactionTable[[#This Row],[Invested Value]]</f>
        <v>-79.196784782248187</v>
      </c>
      <c r="L55" s="187">
        <f>InvestTransactionTable[[#This Row],[Profit]]/InvestTransactionTable[[#This Row],[Invested Value]]</f>
        <v>-3.9600610025285511E-2</v>
      </c>
      <c r="M55" s="182" t="s">
        <v>240</v>
      </c>
      <c r="N55" s="188"/>
      <c r="O55" s="87" t="str">
        <f>TEXT(InvestTransactionTable[[#This Row],[Entry Date]],"MMM-YY")</f>
        <v>Jan-26</v>
      </c>
    </row>
    <row r="56" spans="2:15" x14ac:dyDescent="0.2">
      <c r="B56" s="183">
        <v>46029</v>
      </c>
      <c r="C56" s="184" t="str">
        <f>TEXT(InvestTransactionTable[[#This Row],[Entry Date]],"dddd")</f>
        <v>Wednesday</v>
      </c>
      <c r="D56" s="178" t="s">
        <v>134</v>
      </c>
      <c r="E56" s="178" t="str">
        <f>VLOOKUP(InvestTransactionTable[[#This Row],[Stock Name]],AllocationTable[[TRADE]:[TYPE]],3,0)</f>
        <v>Mutual Fund</v>
      </c>
      <c r="F56" s="185">
        <v>21.01</v>
      </c>
      <c r="G56" s="185" t="s">
        <v>178</v>
      </c>
      <c r="H56" s="186">
        <v>95.19</v>
      </c>
      <c r="I56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1999.9419</v>
      </c>
      <c r="J56" s="186">
        <f>VLOOKUP(InvestTransactionTable[[#This Row],[Stock Name]],AllocationTable[[TRADE]:[LTP]],6,0)*InvestTransactionTable[[#This Row],[Quantity]]</f>
        <v>1394.0387758755444</v>
      </c>
      <c r="K56" s="186">
        <f>InvestTransactionTable[[#This Row],[Current Value]]-InvestTransactionTable[[#This Row],[Invested Value]]</f>
        <v>-605.90312412445564</v>
      </c>
      <c r="L56" s="187">
        <f>InvestTransactionTable[[#This Row],[Profit]]/InvestTransactionTable[[#This Row],[Invested Value]]</f>
        <v>-0.30296036306077473</v>
      </c>
      <c r="M56" s="182" t="s">
        <v>240</v>
      </c>
      <c r="N56" s="188"/>
      <c r="O56" s="87" t="str">
        <f>TEXT(InvestTransactionTable[[#This Row],[Entry Date]],"MMM-YY")</f>
        <v>Jan-26</v>
      </c>
    </row>
    <row r="57" spans="2:15" x14ac:dyDescent="0.2">
      <c r="B57" s="183">
        <v>46029</v>
      </c>
      <c r="C57" s="184" t="str">
        <f>TEXT(InvestTransactionTable[[#This Row],[Entry Date]],"dddd")</f>
        <v>Wednesday</v>
      </c>
      <c r="D57" s="178" t="s">
        <v>133</v>
      </c>
      <c r="E57" s="178" t="str">
        <f>VLOOKUP(InvestTransactionTable[[#This Row],[Stock Name]],AllocationTable[[TRADE]:[TYPE]],3,0)</f>
        <v>Mutual Fund</v>
      </c>
      <c r="F57" s="185">
        <v>1.72</v>
      </c>
      <c r="G57" s="185" t="s">
        <v>178</v>
      </c>
      <c r="H57" s="186">
        <v>582.53</v>
      </c>
      <c r="I57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1001.9516</v>
      </c>
      <c r="J57" s="186">
        <f>VLOOKUP(InvestTransactionTable[[#This Row],[Stock Name]],AllocationTable[[TRADE]:[LTP]],6,0)*InvestTransactionTable[[#This Row],[Quantity]]</f>
        <v>748.60160509057835</v>
      </c>
      <c r="K57" s="186">
        <f>InvestTransactionTable[[#This Row],[Current Value]]-InvestTransactionTable[[#This Row],[Invested Value]]</f>
        <v>-253.34999490942164</v>
      </c>
      <c r="L57" s="187">
        <f>InvestTransactionTable[[#This Row],[Profit]]/InvestTransactionTable[[#This Row],[Invested Value]]</f>
        <v>-0.25285652012474619</v>
      </c>
      <c r="M57" s="182" t="s">
        <v>240</v>
      </c>
      <c r="N57" s="188"/>
      <c r="O57" s="87" t="str">
        <f>TEXT(InvestTransactionTable[[#This Row],[Entry Date]],"MMM-YY")</f>
        <v>Jan-26</v>
      </c>
    </row>
    <row r="58" spans="2:15" x14ac:dyDescent="0.2">
      <c r="B58" s="183">
        <v>46029</v>
      </c>
      <c r="C58" s="184" t="str">
        <f>TEXT(InvestTransactionTable[[#This Row],[Entry Date]],"dddd")</f>
        <v>Wednesday</v>
      </c>
      <c r="D58" s="178" t="s">
        <v>129</v>
      </c>
      <c r="E58" s="178" t="str">
        <f>VLOOKUP(InvestTransactionTable[[#This Row],[Stock Name]],AllocationTable[[TRADE]:[TYPE]],3,0)</f>
        <v>Mutual Fund</v>
      </c>
      <c r="F58" s="185">
        <v>4.24</v>
      </c>
      <c r="G58" s="185" t="s">
        <v>178</v>
      </c>
      <c r="H58" s="186">
        <v>236.14</v>
      </c>
      <c r="I58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1001.2336</v>
      </c>
      <c r="J58" s="186">
        <f>VLOOKUP(InvestTransactionTable[[#This Row],[Stock Name]],AllocationTable[[TRADE]:[LTP]],6,0)*InvestTransactionTable[[#This Row],[Quantity]]</f>
        <v>783.08863519730608</v>
      </c>
      <c r="K58" s="186">
        <f>InvestTransactionTable[[#This Row],[Current Value]]-InvestTransactionTable[[#This Row],[Invested Value]]</f>
        <v>-218.14496480269395</v>
      </c>
      <c r="L58" s="187">
        <f>InvestTransactionTable[[#This Row],[Profit]]/InvestTransactionTable[[#This Row],[Invested Value]]</f>
        <v>-0.21787619273134057</v>
      </c>
      <c r="M58" s="182" t="s">
        <v>240</v>
      </c>
      <c r="N58" s="188"/>
      <c r="O58" s="87" t="str">
        <f>TEXT(InvestTransactionTable[[#This Row],[Entry Date]],"MMM-YY")</f>
        <v>Jan-26</v>
      </c>
    </row>
    <row r="59" spans="2:15" x14ac:dyDescent="0.2">
      <c r="B59" s="183">
        <v>46036</v>
      </c>
      <c r="C59" s="184" t="str">
        <f>TEXT(InvestTransactionTable[[#This Row],[Entry Date]],"dddd")</f>
        <v>Wednesday</v>
      </c>
      <c r="D59" s="178" t="s">
        <v>132</v>
      </c>
      <c r="E59" s="178" t="str">
        <f>VLOOKUP(InvestTransactionTable[[#This Row],[Stock Name]],AllocationTable[[TRADE]:[TYPE]],3,0)</f>
        <v>Mutual Fund</v>
      </c>
      <c r="F59" s="185">
        <v>4874.33</v>
      </c>
      <c r="G59" s="185" t="s">
        <v>178</v>
      </c>
      <c r="H59" s="186">
        <v>10.26</v>
      </c>
      <c r="I59" s="186">
        <f>IF(InvestTransactionTable[[#This Row],[Buy/Sell]]="Buy",InvestTransactionTable[[#This Row],[Quantity]]*InvestTransactionTable[[#This Row],[Price]],InvestTransactionTable[[#This Row],[Quantity]]*InvestTransactionTable[[#This Row],[Price]]*-1)</f>
        <v>50010.625800000002</v>
      </c>
      <c r="J59" s="186">
        <f>VLOOKUP(InvestTransactionTable[[#This Row],[Stock Name]],AllocationTable[[TRADE]:[LTP]],6,0)*InvestTransactionTable[[#This Row],[Quantity]]</f>
        <v>50078.041114025109</v>
      </c>
      <c r="K59" s="186">
        <f>InvestTransactionTable[[#This Row],[Current Value]]-InvestTransactionTable[[#This Row],[Invested Value]]</f>
        <v>67.415314025107364</v>
      </c>
      <c r="L59" s="187">
        <f>InvestTransactionTable[[#This Row],[Profit]]/InvestTransactionTable[[#This Row],[Invested Value]]</f>
        <v>1.3480198047253263E-3</v>
      </c>
      <c r="M59" s="182" t="s">
        <v>240</v>
      </c>
      <c r="N59" s="188"/>
      <c r="O59" s="87" t="str">
        <f>TEXT(InvestTransactionTable[[#This Row],[Entry Date]],"MMM-YY")</f>
        <v>Jan-26</v>
      </c>
    </row>
    <row r="60" spans="2:15" x14ac:dyDescent="0.2">
      <c r="B60" s="183">
        <v>46038</v>
      </c>
      <c r="C60" s="184" t="str">
        <f>TEXT(InvestTransactionTable[[#This Row],[Entry Date]],"dddd")</f>
        <v>Friday</v>
      </c>
      <c r="D60" s="178" t="s">
        <v>325</v>
      </c>
      <c r="E60" s="178" t="str">
        <f>VLOOKUP(InvestTransactionTable[[#This Row],[Stock Name]],AllocationTable[[TRADE]:[TYPE]],3,0)</f>
        <v>Mutual Fund</v>
      </c>
      <c r="F60" s="185">
        <v>11.03</v>
      </c>
      <c r="G60" s="185" t="s">
        <v>178</v>
      </c>
      <c r="H60" s="186">
        <v>453.13</v>
      </c>
      <c r="I60" s="186">
        <f>IF(InvestTransactionTable[[#This Row],[Buy/Sell]]="Buy",InvestTransactionTable[[#This Row],[Quantity]]*InvestTransactionTable[[#This Row],[Price]],InvestTransactionTable[[#This Row],[Quantity]]*InvestTransactionTable[[#This Row],[Price]]*-1)</f>
        <v>4998.0238999999992</v>
      </c>
      <c r="J60" s="186">
        <f>VLOOKUP(InvestTransactionTable[[#This Row],[Stock Name]],AllocationTable[[TRADE]:[LTP]],6,0)*InvestTransactionTable[[#This Row],[Quantity]]</f>
        <v>4881.5424102409461</v>
      </c>
      <c r="K60" s="186">
        <f>InvestTransactionTable[[#This Row],[Current Value]]-InvestTransactionTable[[#This Row],[Invested Value]]</f>
        <v>-116.48148975905315</v>
      </c>
      <c r="L60" s="187">
        <f>InvestTransactionTable[[#This Row],[Profit]]/InvestTransactionTable[[#This Row],[Invested Value]]</f>
        <v>-2.3305508754980775E-2</v>
      </c>
      <c r="M60" s="182" t="s">
        <v>240</v>
      </c>
      <c r="N60" s="188"/>
      <c r="O60" s="87" t="str">
        <f>TEXT(InvestTransactionTable[[#This Row],[Entry Date]],"MMM-YY")</f>
        <v>Jan-26</v>
      </c>
    </row>
    <row r="61" spans="2:15" x14ac:dyDescent="0.2">
      <c r="B61" s="183">
        <v>46041</v>
      </c>
      <c r="C61" s="184" t="str">
        <f>TEXT(InvestTransactionTable[[#This Row],[Entry Date]],"dddd")</f>
        <v>Monday</v>
      </c>
      <c r="D61" s="178" t="s">
        <v>137</v>
      </c>
      <c r="E61" s="178" t="str">
        <f>VLOOKUP(InvestTransactionTable[[#This Row],[Stock Name]],AllocationTable[[TRADE]:[TYPE]],3,0)</f>
        <v>Gold MF</v>
      </c>
      <c r="F61" s="185">
        <v>89.74</v>
      </c>
      <c r="G61" s="185" t="s">
        <v>178</v>
      </c>
      <c r="H61" s="186">
        <v>44.57</v>
      </c>
      <c r="I61" s="186">
        <f>IF(InvestTransactionTable[[#This Row],[Buy/Sell]]="Buy",InvestTransactionTable[[#This Row],[Quantity]]*InvestTransactionTable[[#This Row],[Price]],InvestTransactionTable[[#This Row],[Quantity]]*InvestTransactionTable[[#This Row],[Price]]*-1)</f>
        <v>3999.7117999999996</v>
      </c>
      <c r="J61" s="186">
        <f>VLOOKUP(InvestTransactionTable[[#This Row],[Stock Name]],AllocationTable[[TRADE]:[LTP]],6,0)*InvestTransactionTable[[#This Row],[Quantity]]</f>
        <v>2785.2436902194977</v>
      </c>
      <c r="K61" s="186">
        <f>InvestTransactionTable[[#This Row],[Current Value]]-InvestTransactionTable[[#This Row],[Invested Value]]</f>
        <v>-1214.4681097805019</v>
      </c>
      <c r="L61" s="187">
        <f>InvestTransactionTable[[#This Row],[Profit]]/InvestTransactionTable[[#This Row],[Invested Value]]</f>
        <v>-0.30363890462820398</v>
      </c>
      <c r="M61" s="182" t="s">
        <v>240</v>
      </c>
      <c r="N61" s="188"/>
      <c r="O61" s="87" t="str">
        <f>TEXT(InvestTransactionTable[[#This Row],[Entry Date]],"MMM-YY")</f>
        <v>Jan-26</v>
      </c>
    </row>
    <row r="62" spans="2:15" x14ac:dyDescent="0.2">
      <c r="B62" s="183">
        <v>46044</v>
      </c>
      <c r="C62" s="184" t="str">
        <f>TEXT(InvestTransactionTable[[#This Row],[Entry Date]],"dddd")</f>
        <v>Thursday</v>
      </c>
      <c r="D62" s="178" t="s">
        <v>80</v>
      </c>
      <c r="E62" s="178" t="str">
        <f>VLOOKUP(InvestTransactionTable[[#This Row],[Stock Name]],AllocationTable[[TRADE]:[TYPE]],3,0)</f>
        <v>Gold ETF</v>
      </c>
      <c r="F62" s="185">
        <v>100</v>
      </c>
      <c r="G62" s="185" t="s">
        <v>178</v>
      </c>
      <c r="H62" s="186">
        <v>124</v>
      </c>
      <c r="I62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12400</v>
      </c>
      <c r="J62" s="186">
        <f>VLOOKUP(InvestTransactionTable[[#This Row],[Stock Name]],AllocationTable[[TRADE]:[LTP]],6,0)*InvestTransactionTable[[#This Row],[Quantity]]</f>
        <v>8641.8780151619576</v>
      </c>
      <c r="K62" s="186">
        <f>InvestTransactionTable[[#This Row],[Current Value]]-InvestTransactionTable[[#This Row],[Invested Value]]</f>
        <v>-3758.1219848380424</v>
      </c>
      <c r="L62" s="187">
        <f>InvestTransactionTable[[#This Row],[Profit]]/InvestTransactionTable[[#This Row],[Invested Value]]</f>
        <v>-0.30307435361597118</v>
      </c>
      <c r="M62" s="188" t="s">
        <v>330</v>
      </c>
      <c r="N62" s="188"/>
      <c r="O62" s="87" t="str">
        <f>TEXT(InvestTransactionTable[[#This Row],[Entry Date]],"MMM-YY")</f>
        <v>Jan-26</v>
      </c>
    </row>
    <row r="63" spans="2:15" x14ac:dyDescent="0.2">
      <c r="B63" s="189">
        <v>46052</v>
      </c>
      <c r="C63" s="190" t="str">
        <f>TEXT(InvestTransactionTable[[#This Row],[Entry Date]],"dddd")</f>
        <v>Friday</v>
      </c>
      <c r="D63" s="191" t="s">
        <v>80</v>
      </c>
      <c r="E63" s="191" t="str">
        <f>VLOOKUP(InvestTransactionTable[[#This Row],[Stock Name]],AllocationTable[[TRADE]:[TYPE]],3,0)</f>
        <v>Gold ETF</v>
      </c>
      <c r="F63" s="192">
        <v>50</v>
      </c>
      <c r="G63" s="192" t="s">
        <v>178</v>
      </c>
      <c r="H63" s="193">
        <v>133.94</v>
      </c>
      <c r="I63" s="193">
        <f>IF(InvestTransactionTable[[#This Row],[Buy/Sell]]="Buy",InvestTransactionTable[[#This Row],[Quantity]]*InvestTransactionTable[[#This Row],[Price]],InvestTransactionTable[[#This Row],[Quantity]]*InvestTransactionTable[[#This Row],[Price]]*-1)</f>
        <v>6697</v>
      </c>
      <c r="J63" s="193">
        <f>VLOOKUP(InvestTransactionTable[[#This Row],[Stock Name]],AllocationTable[[TRADE]:[LTP]],6,0)*InvestTransactionTable[[#This Row],[Quantity]]</f>
        <v>4320.9390075809788</v>
      </c>
      <c r="K63" s="193">
        <f>InvestTransactionTable[[#This Row],[Current Value]]-InvestTransactionTable[[#This Row],[Invested Value]]</f>
        <v>-2376.0609924190212</v>
      </c>
      <c r="L63" s="194">
        <f>InvestTransactionTable[[#This Row],[Profit]]/InvestTransactionTable[[#This Row],[Invested Value]]</f>
        <v>-0.35479483237554443</v>
      </c>
      <c r="M63" s="188" t="s">
        <v>330</v>
      </c>
      <c r="N63" s="195"/>
      <c r="O63" s="87" t="str">
        <f>TEXT(InvestTransactionTable[[#This Row],[Entry Date]],"MMM-YY")</f>
        <v>Jan-26</v>
      </c>
    </row>
    <row r="64" spans="2:15" x14ac:dyDescent="0.2">
      <c r="B64" s="183">
        <v>46054</v>
      </c>
      <c r="C64" s="184" t="str">
        <f>TEXT(InvestTransactionTable[[#This Row],[Entry Date]],"dddd")</f>
        <v>Sunday</v>
      </c>
      <c r="D64" s="178" t="s">
        <v>80</v>
      </c>
      <c r="E64" s="178" t="str">
        <f>VLOOKUP(InvestTransactionTable[[#This Row],[Stock Name]],AllocationTable[[TRADE]:[TYPE]],3,0)</f>
        <v>Gold ETF</v>
      </c>
      <c r="F64" s="185">
        <v>100</v>
      </c>
      <c r="G64" s="185" t="s">
        <v>178</v>
      </c>
      <c r="H64" s="186">
        <v>119.9</v>
      </c>
      <c r="I64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11990</v>
      </c>
      <c r="J64" s="186">
        <f>VLOOKUP(InvestTransactionTable[[#This Row],[Stock Name]],AllocationTable[[TRADE]:[LTP]],6,0)*InvestTransactionTable[[#This Row],[Quantity]]</f>
        <v>8641.8780151619576</v>
      </c>
      <c r="K64" s="186">
        <f>InvestTransactionTable[[#This Row],[Current Value]]-InvestTransactionTable[[#This Row],[Invested Value]]</f>
        <v>-3348.1219848380424</v>
      </c>
      <c r="L64" s="187">
        <f>InvestTransactionTable[[#This Row],[Profit]]/InvestTransactionTable[[#This Row],[Invested Value]]</f>
        <v>-0.27924286779299767</v>
      </c>
      <c r="M64" s="188" t="s">
        <v>330</v>
      </c>
      <c r="N64" s="188"/>
      <c r="O64" s="87" t="str">
        <f>TEXT(InvestTransactionTable[[#This Row],[Entry Date]],"MMM-YY")</f>
        <v>Feb-26</v>
      </c>
    </row>
    <row r="65" spans="2:15" x14ac:dyDescent="0.2">
      <c r="B65" s="183">
        <v>46055</v>
      </c>
      <c r="C65" s="184" t="str">
        <f>TEXT(InvestTransactionTable[[#This Row],[Entry Date]],"dddd")</f>
        <v>Monday</v>
      </c>
      <c r="D65" s="178" t="s">
        <v>126</v>
      </c>
      <c r="E65" s="178" t="str">
        <f>VLOOKUP(InvestTransactionTable[[#This Row],[Stock Name]],AllocationTable[[TRADE]:[TYPE]],3,0)</f>
        <v>Mutual Fund</v>
      </c>
      <c r="F65" s="185">
        <v>9.42</v>
      </c>
      <c r="G65" s="185" t="s">
        <v>238</v>
      </c>
      <c r="H65" s="186">
        <v>106.16</v>
      </c>
      <c r="I65" s="186">
        <f>IF(InvestTransactionTable[[#This Row],[Buy/Sell]]="Buy",InvestTransactionTable[[#This Row],[Quantity]]*InvestTransactionTable[[#This Row],[Price]],InvestTransactionTable[[#This Row],[Quantity]]*InvestTransactionTable[[#This Row],[Price]]*-1)</f>
        <v>-1000.0272</v>
      </c>
      <c r="J65" s="186">
        <f>VLOOKUP(InvestTransactionTable[[#This Row],[Stock Name]],AllocationTable[[TRADE]:[LTP]],6,0)*InvestTransactionTable[[#This Row],[Quantity]]</f>
        <v>707.16464856561799</v>
      </c>
      <c r="K65" s="186">
        <f>InvestTransactionTable[[#This Row],[Current Value]]-InvestTransactionTable[[#This Row],[Invested Value]]</f>
        <v>1707.1918485656179</v>
      </c>
      <c r="L65" s="187">
        <f>InvestTransactionTable[[#This Row],[Profit]]/InvestTransactionTable[[#This Row],[Invested Value]]</f>
        <v>-1.7071454142103513</v>
      </c>
      <c r="M65" s="182" t="s">
        <v>240</v>
      </c>
      <c r="N65" s="188"/>
      <c r="O65" s="87" t="str">
        <f>TEXT(InvestTransactionTable[[#This Row],[Entry Date]],"MMM-YY")</f>
        <v>Feb-26</v>
      </c>
    </row>
    <row r="66" spans="2:15" x14ac:dyDescent="0.2">
      <c r="B66" s="189">
        <v>46057</v>
      </c>
      <c r="C66" s="190" t="str">
        <f>TEXT(InvestTransactionTable[[#This Row],[Entry Date]],"dddd")</f>
        <v>Wednesday</v>
      </c>
      <c r="D66" s="191" t="s">
        <v>127</v>
      </c>
      <c r="E66" s="191" t="str">
        <f>VLOOKUP(InvestTransactionTable[[#This Row],[Stock Name]],AllocationTable[[TRADE]:[TYPE]],3,0)</f>
        <v>Mutual Fund</v>
      </c>
      <c r="F66" s="192">
        <v>8.3800000000000008</v>
      </c>
      <c r="G66" s="192" t="s">
        <v>178</v>
      </c>
      <c r="H66" s="193">
        <v>119.34</v>
      </c>
      <c r="I66" s="193">
        <f>IF(InvestTransactionTable[[#This Row],[Buy/Sell]]="Buy",InvestTransactionTable[[#This Row],[Quantity]]*InvestTransactionTable[[#This Row],[Price]],InvestTransactionTable[[#This Row],[Quantity]]*InvestTransactionTable[[#This Row],[Price]]*-1)</f>
        <v>1000.0692000000001</v>
      </c>
      <c r="J66" s="193">
        <f>VLOOKUP(InvestTransactionTable[[#This Row],[Stock Name]],AllocationTable[[TRADE]:[LTP]],6,0)*InvestTransactionTable[[#This Row],[Quantity]]</f>
        <v>784.245626730514</v>
      </c>
      <c r="K66" s="193">
        <f>InvestTransactionTable[[#This Row],[Current Value]]-InvestTransactionTable[[#This Row],[Invested Value]]</f>
        <v>-215.82357326948613</v>
      </c>
      <c r="L66" s="194">
        <f>InvestTransactionTable[[#This Row],[Profit]]/InvestTransactionTable[[#This Row],[Invested Value]]</f>
        <v>-0.21580863931164573</v>
      </c>
      <c r="M66" s="182" t="s">
        <v>240</v>
      </c>
      <c r="N66" s="195"/>
      <c r="O66" s="87" t="str">
        <f>TEXT(InvestTransactionTable[[#This Row],[Entry Date]],"MMM-YY")</f>
        <v>Feb-26</v>
      </c>
    </row>
    <row r="67" spans="2:15" x14ac:dyDescent="0.2">
      <c r="B67" s="183">
        <v>46062</v>
      </c>
      <c r="C67" s="184" t="str">
        <f>TEXT(InvestTransactionTable[[#This Row],[Entry Date]],"dddd")</f>
        <v>Monday</v>
      </c>
      <c r="D67" s="450" t="s">
        <v>325</v>
      </c>
      <c r="E67" s="178" t="str">
        <f>VLOOKUP(InvestTransactionTable[[#This Row],[Stock Name]],AllocationTable[[TRADE]:[TYPE]],3,0)</f>
        <v>Mutual Fund</v>
      </c>
      <c r="F67" s="185">
        <v>29.49</v>
      </c>
      <c r="G67" s="185" t="s">
        <v>178</v>
      </c>
      <c r="H67" s="186">
        <v>457.82</v>
      </c>
      <c r="I67" s="186">
        <f>IF(InvestTransactionTable[[#This Row],[Buy/Sell]]="Buy",InvestTransactionTable[[#This Row],[Quantity]]*InvestTransactionTable[[#This Row],[Price]],InvestTransactionTable[[#This Row],[Quantity]]*InvestTransactionTable[[#This Row],[Price]]*-1)</f>
        <v>13501.111799999999</v>
      </c>
      <c r="J67" s="186">
        <f>VLOOKUP(InvestTransactionTable[[#This Row],[Stock Name]],AllocationTable[[TRADE]:[LTP]],6,0)*InvestTransactionTable[[#This Row],[Quantity]]</f>
        <v>13051.376761378559</v>
      </c>
      <c r="K67" s="186">
        <f>InvestTransactionTable[[#This Row],[Current Value]]-InvestTransactionTable[[#This Row],[Invested Value]]</f>
        <v>-449.73503862144025</v>
      </c>
      <c r="L67" s="187">
        <f>InvestTransactionTable[[#This Row],[Profit]]/InvestTransactionTable[[#This Row],[Invested Value]]</f>
        <v>-3.3310963221668918E-2</v>
      </c>
      <c r="M67" s="182" t="s">
        <v>240</v>
      </c>
      <c r="N67" s="188"/>
      <c r="O67" s="87" t="str">
        <f>TEXT(InvestTransactionTable[[#This Row],[Entry Date]],"MMM-YY")</f>
        <v>Feb-26</v>
      </c>
    </row>
    <row r="68" spans="2:15" x14ac:dyDescent="0.2">
      <c r="B68" s="183">
        <v>46062</v>
      </c>
      <c r="C68" s="184" t="str">
        <f>TEXT(InvestTransactionTable[[#This Row],[Entry Date]],"dddd")</f>
        <v>Monday</v>
      </c>
      <c r="D68" s="450" t="s">
        <v>130</v>
      </c>
      <c r="E68" s="178" t="str">
        <f>VLOOKUP(InvestTransactionTable[[#This Row],[Stock Name]],AllocationTable[[TRADE]:[TYPE]],3,0)</f>
        <v>Mutual Fund</v>
      </c>
      <c r="F68" s="185">
        <v>290.95999999999998</v>
      </c>
      <c r="G68" s="185" t="s">
        <v>178</v>
      </c>
      <c r="H68" s="186">
        <v>10.31</v>
      </c>
      <c r="I68" s="186">
        <f>IF(InvestTransactionTable[[#This Row],[Buy/Sell]]="Buy",InvestTransactionTable[[#This Row],[Quantity]]*InvestTransactionTable[[#This Row],[Price]],InvestTransactionTable[[#This Row],[Quantity]]*InvestTransactionTable[[#This Row],[Price]]*-1)</f>
        <v>2999.7975999999999</v>
      </c>
      <c r="J68" s="186">
        <f>VLOOKUP(InvestTransactionTable[[#This Row],[Stock Name]],AllocationTable[[TRADE]:[LTP]],6,0)*InvestTransactionTable[[#This Row],[Quantity]]</f>
        <v>2886.592541217753</v>
      </c>
      <c r="K68" s="186">
        <f>InvestTransactionTable[[#This Row],[Current Value]]-InvestTransactionTable[[#This Row],[Invested Value]]</f>
        <v>-113.20505878224685</v>
      </c>
      <c r="L68" s="187">
        <f>InvestTransactionTable[[#This Row],[Profit]]/InvestTransactionTable[[#This Row],[Invested Value]]</f>
        <v>-3.7737565621842904E-2</v>
      </c>
      <c r="M68" s="182" t="s">
        <v>240</v>
      </c>
      <c r="N68" s="188"/>
      <c r="O68" s="87" t="str">
        <f>TEXT(InvestTransactionTable[[#This Row],[Entry Date]],"MMM-YY")</f>
        <v>Feb-26</v>
      </c>
    </row>
    <row r="69" spans="2:15" x14ac:dyDescent="0.2">
      <c r="B69" s="183">
        <v>46062</v>
      </c>
      <c r="C69" s="184" t="str">
        <f>TEXT(InvestTransactionTable[[#This Row],[Entry Date]],"dddd")</f>
        <v>Monday</v>
      </c>
      <c r="D69" s="450" t="s">
        <v>134</v>
      </c>
      <c r="E69" s="178" t="str">
        <f>VLOOKUP(InvestTransactionTable[[#This Row],[Stock Name]],AllocationTable[[TRADE]:[TYPE]],3,0)</f>
        <v>Mutual Fund</v>
      </c>
      <c r="F69" s="185">
        <v>79.66</v>
      </c>
      <c r="G69" s="185" t="s">
        <v>178</v>
      </c>
      <c r="H69" s="186">
        <v>94.15</v>
      </c>
      <c r="I69" s="186">
        <f>IF(InvestTransactionTable[[#This Row],[Buy/Sell]]="Buy",InvestTransactionTable[[#This Row],[Quantity]]*InvestTransactionTable[[#This Row],[Price]],InvestTransactionTable[[#This Row],[Quantity]]*InvestTransactionTable[[#This Row],[Price]]*-1)</f>
        <v>7499.9890000000005</v>
      </c>
      <c r="J69" s="186">
        <f>VLOOKUP(InvestTransactionTable[[#This Row],[Stock Name]],AllocationTable[[TRADE]:[LTP]],6,0)*InvestTransactionTable[[#This Row],[Quantity]]</f>
        <v>5285.5368341859048</v>
      </c>
      <c r="K69" s="186">
        <f>InvestTransactionTable[[#This Row],[Current Value]]-InvestTransactionTable[[#This Row],[Invested Value]]</f>
        <v>-2214.4521658140957</v>
      </c>
      <c r="L69" s="187">
        <f>InvestTransactionTable[[#This Row],[Profit]]/InvestTransactionTable[[#This Row],[Invested Value]]</f>
        <v>-0.29526072182427143</v>
      </c>
      <c r="M69" s="182" t="s">
        <v>240</v>
      </c>
      <c r="N69" s="188"/>
      <c r="O69" s="87" t="str">
        <f>TEXT(InvestTransactionTable[[#This Row],[Entry Date]],"MMM-YY")</f>
        <v>Feb-26</v>
      </c>
    </row>
    <row r="70" spans="2:15" x14ac:dyDescent="0.2">
      <c r="B70" s="183">
        <v>46062</v>
      </c>
      <c r="C70" s="184" t="str">
        <f>TEXT(InvestTransactionTable[[#This Row],[Entry Date]],"dddd")</f>
        <v>Monday</v>
      </c>
      <c r="D70" s="450" t="s">
        <v>258</v>
      </c>
      <c r="E70" s="178" t="str">
        <f>VLOOKUP(InvestTransactionTable[[#This Row],[Stock Name]],AllocationTable[[TRADE]:[TYPE]],3,0)</f>
        <v>Mutual Fund</v>
      </c>
      <c r="F70" s="185">
        <v>93.46</v>
      </c>
      <c r="G70" s="185" t="s">
        <v>178</v>
      </c>
      <c r="H70" s="186">
        <v>32.1</v>
      </c>
      <c r="I70" s="186">
        <f>IF(InvestTransactionTable[[#This Row],[Buy/Sell]]="Buy",InvestTransactionTable[[#This Row],[Quantity]]*InvestTransactionTable[[#This Row],[Price]],InvestTransactionTable[[#This Row],[Quantity]]*InvestTransactionTable[[#This Row],[Price]]*-1)</f>
        <v>3000.0659999999998</v>
      </c>
      <c r="J70" s="186">
        <f>VLOOKUP(InvestTransactionTable[[#This Row],[Stock Name]],AllocationTable[[TRADE]:[LTP]],6,0)*InvestTransactionTable[[#This Row],[Quantity]]</f>
        <v>3018.917654417789</v>
      </c>
      <c r="K70" s="186">
        <f>InvestTransactionTable[[#This Row],[Current Value]]-InvestTransactionTable[[#This Row],[Invested Value]]</f>
        <v>18.851654417789177</v>
      </c>
      <c r="L70" s="187">
        <f>InvestTransactionTable[[#This Row],[Profit]]/InvestTransactionTable[[#This Row],[Invested Value]]</f>
        <v>6.283746563505329E-3</v>
      </c>
      <c r="M70" s="182" t="s">
        <v>240</v>
      </c>
      <c r="N70" s="188"/>
      <c r="O70" s="87" t="str">
        <f>TEXT(InvestTransactionTable[[#This Row],[Entry Date]],"MMM-YY")</f>
        <v>Feb-26</v>
      </c>
    </row>
    <row r="71" spans="2:15" x14ac:dyDescent="0.2">
      <c r="B71" s="183">
        <v>46062</v>
      </c>
      <c r="C71" s="184" t="str">
        <f>TEXT(InvestTransactionTable[[#This Row],[Entry Date]],"dddd")</f>
        <v>Monday</v>
      </c>
      <c r="D71" s="450" t="s">
        <v>132</v>
      </c>
      <c r="E71" s="178" t="str">
        <f>VLOOKUP(InvestTransactionTable[[#This Row],[Stock Name]],AllocationTable[[TRADE]:[TYPE]],3,0)</f>
        <v>Mutual Fund</v>
      </c>
      <c r="F71" s="185">
        <v>288.20999999999998</v>
      </c>
      <c r="G71" s="185" t="s">
        <v>178</v>
      </c>
      <c r="H71" s="186">
        <v>10.41</v>
      </c>
      <c r="I71" s="186">
        <f>IF(InvestTransactionTable[[#This Row],[Buy/Sell]]="Buy",InvestTransactionTable[[#This Row],[Quantity]]*InvestTransactionTable[[#This Row],[Price]],InvestTransactionTable[[#This Row],[Quantity]]*InvestTransactionTable[[#This Row],[Price]]*-1)</f>
        <v>3000.2660999999998</v>
      </c>
      <c r="J71" s="186">
        <f>VLOOKUP(InvestTransactionTable[[#This Row],[Stock Name]],AllocationTable[[TRADE]:[LTP]],6,0)*InvestTransactionTable[[#This Row],[Quantity]]</f>
        <v>2961.0207412040581</v>
      </c>
      <c r="K71" s="186">
        <f>InvestTransactionTable[[#This Row],[Current Value]]-InvestTransactionTable[[#This Row],[Invested Value]]</f>
        <v>-39.245358795941684</v>
      </c>
      <c r="L71" s="187">
        <f>InvestTransactionTable[[#This Row],[Profit]]/InvestTransactionTable[[#This Row],[Invested Value]]</f>
        <v>-1.3080626013786472E-2</v>
      </c>
      <c r="M71" s="182" t="s">
        <v>240</v>
      </c>
      <c r="N71" s="188"/>
      <c r="O71" s="87" t="str">
        <f>TEXT(InvestTransactionTable[[#This Row],[Entry Date]],"MMM-YY")</f>
        <v>Feb-26</v>
      </c>
    </row>
    <row r="72" spans="2:15" x14ac:dyDescent="0.2">
      <c r="B72" s="183">
        <v>46062</v>
      </c>
      <c r="C72" s="184" t="str">
        <f>TEXT(InvestTransactionTable[[#This Row],[Entry Date]],"dddd")</f>
        <v>Monday</v>
      </c>
      <c r="D72" s="450" t="s">
        <v>137</v>
      </c>
      <c r="E72" s="178" t="str">
        <f>VLOOKUP(InvestTransactionTable[[#This Row],[Stock Name]],AllocationTable[[TRADE]:[TYPE]],3,0)</f>
        <v>Gold MF</v>
      </c>
      <c r="F72" s="185">
        <v>84.62</v>
      </c>
      <c r="G72" s="185" t="s">
        <v>178</v>
      </c>
      <c r="H72" s="186">
        <v>47.26</v>
      </c>
      <c r="I72" s="186">
        <f>IF(InvestTransactionTable[[#This Row],[Buy/Sell]]="Buy",InvestTransactionTable[[#This Row],[Quantity]]*InvestTransactionTable[[#This Row],[Price]],InvestTransactionTable[[#This Row],[Quantity]]*InvestTransactionTable[[#This Row],[Price]]*-1)</f>
        <v>3999.1412</v>
      </c>
      <c r="J72" s="186">
        <f>VLOOKUP(InvestTransactionTable[[#This Row],[Stock Name]],AllocationTable[[TRADE]:[LTP]],6,0)*InvestTransactionTable[[#This Row],[Quantity]]</f>
        <v>2626.3352024334067</v>
      </c>
      <c r="K72" s="186">
        <f>InvestTransactionTable[[#This Row],[Current Value]]-InvestTransactionTable[[#This Row],[Invested Value]]</f>
        <v>-1372.8059975665933</v>
      </c>
      <c r="L72" s="187">
        <f>InvestTransactionTable[[#This Row],[Profit]]/InvestTransactionTable[[#This Row],[Invested Value]]</f>
        <v>-0.34327520057721223</v>
      </c>
      <c r="M72" s="182" t="s">
        <v>240</v>
      </c>
      <c r="N72" s="188"/>
      <c r="O72" s="87" t="str">
        <f>TEXT(InvestTransactionTable[[#This Row],[Entry Date]],"MMM-YY")</f>
        <v>Feb-26</v>
      </c>
    </row>
    <row r="73" spans="2:15" x14ac:dyDescent="0.2">
      <c r="B73" s="189">
        <v>46064</v>
      </c>
      <c r="C73" s="190" t="str">
        <f>TEXT(InvestTransactionTable[[#This Row],[Entry Date]],"dddd")</f>
        <v>Wednesday</v>
      </c>
      <c r="D73" s="191" t="s">
        <v>80</v>
      </c>
      <c r="E73" s="191" t="str">
        <f>VLOOKUP(InvestTransactionTable[[#This Row],[Stock Name]],AllocationTable[[TRADE]:[TYPE]],3,0)</f>
        <v>Gold ETF</v>
      </c>
      <c r="F73" s="192">
        <v>1</v>
      </c>
      <c r="G73" s="192" t="s">
        <v>178</v>
      </c>
      <c r="H73" s="193">
        <v>128.75</v>
      </c>
      <c r="I73" s="193">
        <f>IF(InvestTransactionTable[[#This Row],[Buy/Sell]]="Buy",InvestTransactionTable[[#This Row],[Quantity]]*InvestTransactionTable[[#This Row],[Price]],InvestTransactionTable[[#This Row],[Quantity]]*InvestTransactionTable[[#This Row],[Price]]*-1)</f>
        <v>128.75</v>
      </c>
      <c r="J73" s="193">
        <f>VLOOKUP(InvestTransactionTable[[#This Row],[Stock Name]],AllocationTable[[TRADE]:[LTP]],6,0)*InvestTransactionTable[[#This Row],[Quantity]]</f>
        <v>86.418780151619572</v>
      </c>
      <c r="K73" s="193">
        <f>InvestTransactionTable[[#This Row],[Current Value]]-InvestTransactionTable[[#This Row],[Invested Value]]</f>
        <v>-42.331219848380428</v>
      </c>
      <c r="L73" s="194">
        <f>InvestTransactionTable[[#This Row],[Profit]]/InvestTransactionTable[[#This Row],[Invested Value]]</f>
        <v>-0.32878617357965378</v>
      </c>
      <c r="M73" s="188" t="s">
        <v>330</v>
      </c>
      <c r="N73" s="195"/>
      <c r="O73" s="87" t="str">
        <f>TEXT(InvestTransactionTable[[#This Row],[Entry Date]],"MMM-YY")</f>
        <v>Feb-26</v>
      </c>
    </row>
    <row r="74" spans="2:15" x14ac:dyDescent="0.2">
      <c r="B74" s="189">
        <v>46080</v>
      </c>
      <c r="C74" s="190" t="str">
        <f>TEXT(InvestTransactionTable[[#This Row],[Entry Date]],"dddd")</f>
        <v>Friday</v>
      </c>
      <c r="D74" s="451" t="s">
        <v>129</v>
      </c>
      <c r="E74" s="191" t="str">
        <f>VLOOKUP(InvestTransactionTable[[#This Row],[Stock Name]],AllocationTable[[TRADE]:[TYPE]],3,0)</f>
        <v>Mutual Fund</v>
      </c>
      <c r="F74" s="192">
        <v>25.84</v>
      </c>
      <c r="G74" s="192" t="s">
        <v>178</v>
      </c>
      <c r="H74" s="193">
        <v>193.49</v>
      </c>
      <c r="I74" s="193">
        <f>IF(InvestTransactionTable[[#This Row],[Buy/Sell]]="Buy",InvestTransactionTable[[#This Row],[Quantity]]*InvestTransactionTable[[#This Row],[Price]],InvestTransactionTable[[#This Row],[Quantity]]*InvestTransactionTable[[#This Row],[Price]]*-1)</f>
        <v>4999.7816000000003</v>
      </c>
      <c r="J74" s="193">
        <f>VLOOKUP(InvestTransactionTable[[#This Row],[Stock Name]],AllocationTable[[TRADE]:[LTP]],6,0)*InvestTransactionTable[[#This Row],[Quantity]]</f>
        <v>4772.4080975232046</v>
      </c>
      <c r="K74" s="193">
        <f>InvestTransactionTable[[#This Row],[Current Value]]-InvestTransactionTable[[#This Row],[Invested Value]]</f>
        <v>-227.37350247679569</v>
      </c>
      <c r="L74" s="194">
        <f>InvestTransactionTable[[#This Row],[Profit]]/InvestTransactionTable[[#This Row],[Invested Value]]</f>
        <v>-4.5476686917043672E-2</v>
      </c>
      <c r="M74" s="457" t="s">
        <v>240</v>
      </c>
      <c r="N74" s="195"/>
      <c r="O74" s="87" t="str">
        <f>TEXT(InvestTransactionTable[[#This Row],[Entry Date]],"MMM-YY")</f>
        <v>Feb-26</v>
      </c>
    </row>
    <row r="75" spans="2:15" x14ac:dyDescent="0.2">
      <c r="B75" s="189">
        <v>46090</v>
      </c>
      <c r="C75" s="190" t="str">
        <f>TEXT(InvestTransactionTable[[#This Row],[Entry Date]],"dddd")</f>
        <v>Monday</v>
      </c>
      <c r="D75" s="451" t="s">
        <v>130</v>
      </c>
      <c r="E75" s="191" t="str">
        <f>VLOOKUP(InvestTransactionTable[[#This Row],[Stock Name]],AllocationTable[[TRADE]:[TYPE]],3,0)</f>
        <v>Mutual Fund</v>
      </c>
      <c r="F75" s="192">
        <v>313.79000000000002</v>
      </c>
      <c r="G75" s="192" t="s">
        <v>178</v>
      </c>
      <c r="H75" s="193">
        <v>9.56</v>
      </c>
      <c r="I75" s="193">
        <f>IF(InvestTransactionTable[[#This Row],[Buy/Sell]]="Buy",InvestTransactionTable[[#This Row],[Quantity]]*InvestTransactionTable[[#This Row],[Price]],InvestTransactionTable[[#This Row],[Quantity]]*InvestTransactionTable[[#This Row],[Price]]*-1)</f>
        <v>2999.8324000000002</v>
      </c>
      <c r="J75" s="193">
        <f>VLOOKUP(InvestTransactionTable[[#This Row],[Stock Name]],AllocationTable[[TRADE]:[LTP]],6,0)*InvestTransactionTable[[#This Row],[Quantity]]</f>
        <v>3113.0872749131113</v>
      </c>
      <c r="K75" s="193">
        <f>InvestTransactionTable[[#This Row],[Current Value]]-InvestTransactionTable[[#This Row],[Invested Value]]</f>
        <v>113.25487491311105</v>
      </c>
      <c r="L75" s="194">
        <f>InvestTransactionTable[[#This Row],[Profit]]/InvestTransactionTable[[#This Row],[Invested Value]]</f>
        <v>3.775373414631799E-2</v>
      </c>
      <c r="M75" s="457" t="s">
        <v>240</v>
      </c>
      <c r="N75" s="195"/>
      <c r="O75" s="87" t="str">
        <f>TEXT(InvestTransactionTable[[#This Row],[Entry Date]],"MMM-YY")</f>
        <v>Mar-26</v>
      </c>
    </row>
    <row r="76" spans="2:15" x14ac:dyDescent="0.2">
      <c r="B76" s="189">
        <v>46090</v>
      </c>
      <c r="C76" s="190" t="str">
        <f>TEXT(InvestTransactionTable[[#This Row],[Entry Date]],"dddd")</f>
        <v>Monday</v>
      </c>
      <c r="D76" s="451" t="s">
        <v>325</v>
      </c>
      <c r="E76" s="191" t="str">
        <f>VLOOKUP(InvestTransactionTable[[#This Row],[Stock Name]],AllocationTable[[TRADE]:[TYPE]],3,0)</f>
        <v>Mutual Fund</v>
      </c>
      <c r="F76" s="192">
        <v>30.82</v>
      </c>
      <c r="G76" s="192" t="s">
        <v>178</v>
      </c>
      <c r="H76" s="193">
        <v>438</v>
      </c>
      <c r="I76" s="193">
        <f>IF(InvestTransactionTable[[#This Row],[Buy/Sell]]="Buy",InvestTransactionTable[[#This Row],[Quantity]]*InvestTransactionTable[[#This Row],[Price]],InvestTransactionTable[[#This Row],[Quantity]]*InvestTransactionTable[[#This Row],[Price]]*-1)</f>
        <v>13499.16</v>
      </c>
      <c r="J76" s="193">
        <f>VLOOKUP(InvestTransactionTable[[#This Row],[Stock Name]],AllocationTable[[TRADE]:[LTP]],6,0)*InvestTransactionTable[[#This Row],[Quantity]]</f>
        <v>13639.994295886308</v>
      </c>
      <c r="K76" s="193">
        <f>InvestTransactionTable[[#This Row],[Current Value]]-InvestTransactionTable[[#This Row],[Invested Value]]</f>
        <v>140.83429588630861</v>
      </c>
      <c r="L76" s="194">
        <f>InvestTransactionTable[[#This Row],[Profit]]/InvestTransactionTable[[#This Row],[Invested Value]]</f>
        <v>1.043281921884833E-2</v>
      </c>
      <c r="M76" s="457" t="s">
        <v>240</v>
      </c>
      <c r="N76" s="195"/>
      <c r="O76" s="87" t="str">
        <f>TEXT(InvestTransactionTable[[#This Row],[Entry Date]],"MMM-YY")</f>
        <v>Mar-26</v>
      </c>
    </row>
    <row r="77" spans="2:15" x14ac:dyDescent="0.2">
      <c r="B77" s="189" t="s">
        <v>353</v>
      </c>
      <c r="C77" s="190" t="str">
        <f>TEXT(InvestTransactionTable[[#This Row],[Entry Date]],"dddd")</f>
        <v>Monday</v>
      </c>
      <c r="D77" s="451" t="s">
        <v>134</v>
      </c>
      <c r="E77" s="191" t="str">
        <f>VLOOKUP(InvestTransactionTable[[#This Row],[Stock Name]],AllocationTable[[TRADE]:[TYPE]],3,0)</f>
        <v>Mutual Fund</v>
      </c>
      <c r="F77" s="192">
        <v>83.54</v>
      </c>
      <c r="G77" s="192" t="s">
        <v>178</v>
      </c>
      <c r="H77" s="193">
        <v>89.77</v>
      </c>
      <c r="I77" s="193">
        <f>IF(InvestTransactionTable[[#This Row],[Buy/Sell]]="Buy",InvestTransactionTable[[#This Row],[Quantity]]*InvestTransactionTable[[#This Row],[Price]],InvestTransactionTable[[#This Row],[Quantity]]*InvestTransactionTable[[#This Row],[Price]]*-1)</f>
        <v>7499.3858</v>
      </c>
      <c r="J77" s="193">
        <f>VLOOKUP(InvestTransactionTable[[#This Row],[Stock Name]],AllocationTable[[TRADE]:[LTP]],6,0)*InvestTransactionTable[[#This Row],[Quantity]]</f>
        <v>5542.9795019820558</v>
      </c>
      <c r="K77" s="193">
        <f>InvestTransactionTable[[#This Row],[Current Value]]-InvestTransactionTable[[#This Row],[Invested Value]]</f>
        <v>-1956.4062980179442</v>
      </c>
      <c r="L77" s="194">
        <f>InvestTransactionTable[[#This Row],[Profit]]/InvestTransactionTable[[#This Row],[Invested Value]]</f>
        <v>-0.26087553703637228</v>
      </c>
      <c r="M77" s="457" t="s">
        <v>240</v>
      </c>
      <c r="N77" s="195"/>
      <c r="O77" s="87" t="str">
        <f>TEXT(InvestTransactionTable[[#This Row],[Entry Date]],"MMM-YY")</f>
        <v>Mar-26</v>
      </c>
    </row>
    <row r="78" spans="2:15" x14ac:dyDescent="0.2">
      <c r="B78" s="189" t="s">
        <v>353</v>
      </c>
      <c r="C78" s="190" t="str">
        <f>TEXT(InvestTransactionTable[[#This Row],[Entry Date]],"dddd")</f>
        <v>Monday</v>
      </c>
      <c r="D78" s="451" t="s">
        <v>258</v>
      </c>
      <c r="E78" s="191" t="str">
        <f>VLOOKUP(InvestTransactionTable[[#This Row],[Stock Name]],AllocationTable[[TRADE]:[TYPE]],3,0)</f>
        <v>Mutual Fund</v>
      </c>
      <c r="F78" s="192">
        <v>94.28</v>
      </c>
      <c r="G78" s="192" t="s">
        <v>178</v>
      </c>
      <c r="H78" s="193">
        <v>31.82</v>
      </c>
      <c r="I78" s="193">
        <f>IF(InvestTransactionTable[[#This Row],[Buy/Sell]]="Buy",InvestTransactionTable[[#This Row],[Quantity]]*InvestTransactionTable[[#This Row],[Price]],InvestTransactionTable[[#This Row],[Quantity]]*InvestTransactionTable[[#This Row],[Price]]*-1)</f>
        <v>2999.9895999999999</v>
      </c>
      <c r="J78" s="193">
        <f>VLOOKUP(InvestTransactionTable[[#This Row],[Stock Name]],AllocationTable[[TRADE]:[LTP]],6,0)*InvestTransactionTable[[#This Row],[Quantity]]</f>
        <v>3045.4050551948339</v>
      </c>
      <c r="K78" s="193">
        <f>InvestTransactionTable[[#This Row],[Current Value]]-InvestTransactionTable[[#This Row],[Invested Value]]</f>
        <v>45.415455194834067</v>
      </c>
      <c r="L78" s="194">
        <f>InvestTransactionTable[[#This Row],[Profit]]/InvestTransactionTable[[#This Row],[Invested Value]]</f>
        <v>1.5138537545208179E-2</v>
      </c>
      <c r="M78" s="457" t="s">
        <v>240</v>
      </c>
      <c r="N78" s="195"/>
      <c r="O78" s="87" t="str">
        <f>TEXT(InvestTransactionTable[[#This Row],[Entry Date]],"MMM-YY")</f>
        <v>Mar-26</v>
      </c>
    </row>
    <row r="79" spans="2:15" x14ac:dyDescent="0.2">
      <c r="B79" s="189" t="s">
        <v>353</v>
      </c>
      <c r="C79" s="190" t="str">
        <f>TEXT(InvestTransactionTable[[#This Row],[Entry Date]],"dddd")</f>
        <v>Monday</v>
      </c>
      <c r="D79" s="451" t="s">
        <v>132</v>
      </c>
      <c r="E79" s="191" t="str">
        <f>VLOOKUP(InvestTransactionTable[[#This Row],[Stock Name]],AllocationTable[[TRADE]:[TYPE]],3,0)</f>
        <v>Mutual Fund</v>
      </c>
      <c r="F79" s="192">
        <v>274.01</v>
      </c>
      <c r="G79" s="192" t="s">
        <v>178</v>
      </c>
      <c r="H79" s="193">
        <v>10.95</v>
      </c>
      <c r="I79" s="193">
        <f>IF(InvestTransactionTable[[#This Row],[Buy/Sell]]="Buy",InvestTransactionTable[[#This Row],[Quantity]]*InvestTransactionTable[[#This Row],[Price]],InvestTransactionTable[[#This Row],[Quantity]]*InvestTransactionTable[[#This Row],[Price]]*-1)</f>
        <v>3000.4094999999998</v>
      </c>
      <c r="J79" s="193">
        <f>VLOOKUP(InvestTransactionTable[[#This Row],[Stock Name]],AllocationTable[[TRADE]:[LTP]],6,0)*InvestTransactionTable[[#This Row],[Quantity]]</f>
        <v>2815.1323455026682</v>
      </c>
      <c r="K79" s="193">
        <f>InvestTransactionTable[[#This Row],[Current Value]]-InvestTransactionTable[[#This Row],[Invested Value]]</f>
        <v>-185.27715449733159</v>
      </c>
      <c r="L79" s="194">
        <f>InvestTransactionTable[[#This Row],[Profit]]/InvestTransactionTable[[#This Row],[Invested Value]]</f>
        <v>-6.1750622539133944E-2</v>
      </c>
      <c r="M79" s="457" t="s">
        <v>240</v>
      </c>
      <c r="N79" s="195"/>
      <c r="O79" s="87" t="str">
        <f>TEXT(InvestTransactionTable[[#This Row],[Entry Date]],"MMM-YY")</f>
        <v>Mar-26</v>
      </c>
    </row>
    <row r="80" spans="2:15" x14ac:dyDescent="0.2">
      <c r="B80" s="189" t="s">
        <v>353</v>
      </c>
      <c r="C80" s="190" t="str">
        <f>TEXT(InvestTransactionTable[[#This Row],[Entry Date]],"dddd")</f>
        <v>Monday</v>
      </c>
      <c r="D80" s="451" t="s">
        <v>137</v>
      </c>
      <c r="E80" s="191" t="str">
        <f>VLOOKUP(InvestTransactionTable[[#This Row],[Stock Name]],AllocationTable[[TRADE]:[TYPE]],3,0)</f>
        <v>Gold MF</v>
      </c>
      <c r="F80" s="192">
        <v>82.36</v>
      </c>
      <c r="G80" s="192" t="s">
        <v>178</v>
      </c>
      <c r="H80" s="193">
        <v>48.56</v>
      </c>
      <c r="I80" s="193">
        <f>IF(InvestTransactionTable[[#This Row],[Buy/Sell]]="Buy",InvestTransactionTable[[#This Row],[Quantity]]*InvestTransactionTable[[#This Row],[Price]],InvestTransactionTable[[#This Row],[Quantity]]*InvestTransactionTable[[#This Row],[Price]]*-1)</f>
        <v>3999.4016000000001</v>
      </c>
      <c r="J80" s="193">
        <f>VLOOKUP(InvestTransactionTable[[#This Row],[Stock Name]],AllocationTable[[TRADE]:[LTP]],6,0)*InvestTransactionTable[[#This Row],[Quantity]]</f>
        <v>2556.1920027465776</v>
      </c>
      <c r="K80" s="193">
        <f>InvestTransactionTable[[#This Row],[Current Value]]-InvestTransactionTable[[#This Row],[Invested Value]]</f>
        <v>-1443.2095972534225</v>
      </c>
      <c r="L80" s="194">
        <f>InvestTransactionTable[[#This Row],[Profit]]/InvestTransactionTable[[#This Row],[Invested Value]]</f>
        <v>-0.3608563834283165</v>
      </c>
      <c r="M80" s="457" t="s">
        <v>240</v>
      </c>
      <c r="N80" s="195"/>
      <c r="O80" s="87" t="str">
        <f>TEXT(InvestTransactionTable[[#This Row],[Entry Date]],"MMM-YY")</f>
        <v>Mar-26</v>
      </c>
    </row>
    <row r="81" spans="2:15" x14ac:dyDescent="0.2">
      <c r="B81" s="189" t="s">
        <v>354</v>
      </c>
      <c r="C81" s="190" t="str">
        <f>TEXT(InvestTransactionTable[[#This Row],[Entry Date]],"dddd")</f>
        <v>Thursday</v>
      </c>
      <c r="D81" s="451" t="s">
        <v>135</v>
      </c>
      <c r="E81" s="191" t="str">
        <f>VLOOKUP(InvestTransactionTable[[#This Row],[Stock Name]],AllocationTable[[TRADE]:[TYPE]],3,0)</f>
        <v>Mutual Fund</v>
      </c>
      <c r="F81" s="192">
        <v>665.91</v>
      </c>
      <c r="G81" s="192" t="s">
        <v>238</v>
      </c>
      <c r="H81" s="193">
        <v>39.08</v>
      </c>
      <c r="I81" s="193">
        <f>IF(InvestTransactionTable[[#This Row],[Buy/Sell]]="Buy",InvestTransactionTable[[#This Row],[Quantity]]*InvestTransactionTable[[#This Row],[Price]],InvestTransactionTable[[#This Row],[Quantity]]*InvestTransactionTable[[#This Row],[Price]]*-1)</f>
        <v>-26023.762799999997</v>
      </c>
      <c r="J81" s="193">
        <f>VLOOKUP(InvestTransactionTable[[#This Row],[Stock Name]],AllocationTable[[TRADE]:[LTP]],6,0)*InvestTransactionTable[[#This Row],[Quantity]]</f>
        <v>0</v>
      </c>
      <c r="K81" s="193">
        <f>InvestTransactionTable[[#This Row],[Current Value]]-InvestTransactionTable[[#This Row],[Invested Value]]</f>
        <v>26023.762799999997</v>
      </c>
      <c r="L81" s="194">
        <f>InvestTransactionTable[[#This Row],[Profit]]/InvestTransactionTable[[#This Row],[Invested Value]]</f>
        <v>-1</v>
      </c>
      <c r="M81" s="457" t="s">
        <v>240</v>
      </c>
      <c r="N81" s="195"/>
      <c r="O81" s="87" t="str">
        <f>TEXT(InvestTransactionTable[[#This Row],[Entry Date]],"MMM-YY")</f>
        <v>Mar-26</v>
      </c>
    </row>
    <row r="82" spans="2:15" x14ac:dyDescent="0.2">
      <c r="B82" s="189" t="s">
        <v>355</v>
      </c>
      <c r="C82" s="190" t="str">
        <f>TEXT(InvestTransactionTable[[#This Row],[Entry Date]],"dddd")</f>
        <v>Monday</v>
      </c>
      <c r="D82" s="451" t="s">
        <v>126</v>
      </c>
      <c r="E82" s="191" t="str">
        <f>VLOOKUP(InvestTransactionTable[[#This Row],[Stock Name]],AllocationTable[[TRADE]:[TYPE]],3,0)</f>
        <v>Mutual Fund</v>
      </c>
      <c r="F82" s="192">
        <v>9.3000000000000007</v>
      </c>
      <c r="G82" s="192" t="s">
        <v>238</v>
      </c>
      <c r="H82" s="193">
        <v>107.52</v>
      </c>
      <c r="I82" s="193">
        <f>IF(InvestTransactionTable[[#This Row],[Buy/Sell]]="Buy",InvestTransactionTable[[#This Row],[Quantity]]*InvestTransactionTable[[#This Row],[Price]],InvestTransactionTable[[#This Row],[Quantity]]*InvestTransactionTable[[#This Row],[Price]]*-1)</f>
        <v>-999.93600000000004</v>
      </c>
      <c r="J82" s="193">
        <f>VLOOKUP(InvestTransactionTable[[#This Row],[Stock Name]],AllocationTable[[TRADE]:[LTP]],6,0)*InvestTransactionTable[[#This Row],[Quantity]]</f>
        <v>698.15618170490961</v>
      </c>
      <c r="K82" s="193">
        <f>InvestTransactionTable[[#This Row],[Current Value]]-InvestTransactionTable[[#This Row],[Invested Value]]</f>
        <v>1698.0921817049098</v>
      </c>
      <c r="L82" s="194">
        <f>InvestTransactionTable[[#This Row],[Profit]]/InvestTransactionTable[[#This Row],[Invested Value]]</f>
        <v>-1.6982008665603696</v>
      </c>
      <c r="M82" s="457" t="s">
        <v>240</v>
      </c>
      <c r="N82" s="195"/>
      <c r="O82" s="87" t="str">
        <f>TEXT(InvestTransactionTable[[#This Row],[Entry Date]],"MMM-YY")</f>
        <v>Mar-26</v>
      </c>
    </row>
    <row r="83" spans="2:15" x14ac:dyDescent="0.2">
      <c r="B83" s="189">
        <v>46100</v>
      </c>
      <c r="C83" s="190" t="str">
        <f>TEXT(InvestTransactionTable[[#This Row],[Entry Date]],"dddd")</f>
        <v>Thursday</v>
      </c>
      <c r="D83" s="191" t="s">
        <v>80</v>
      </c>
      <c r="E83" s="191" t="str">
        <f>VLOOKUP(InvestTransactionTable[[#This Row],[Stock Name]],AllocationTable[[TRADE]:[TYPE]],3,0)</f>
        <v>Gold ETF</v>
      </c>
      <c r="F83" s="192">
        <v>30</v>
      </c>
      <c r="G83" s="192" t="s">
        <v>178</v>
      </c>
      <c r="H83" s="193">
        <v>123.67</v>
      </c>
      <c r="I83" s="193">
        <f>IF(InvestTransactionTable[[#This Row],[Buy/Sell]]="Buy",InvestTransactionTable[[#This Row],[Quantity]]*InvestTransactionTable[[#This Row],[Price]],InvestTransactionTable[[#This Row],[Quantity]]*InvestTransactionTable[[#This Row],[Price]]*-1)</f>
        <v>3710.1</v>
      </c>
      <c r="J83" s="193">
        <f>VLOOKUP(InvestTransactionTable[[#This Row],[Stock Name]],AllocationTable[[TRADE]:[LTP]],6,0)*InvestTransactionTable[[#This Row],[Quantity]]</f>
        <v>2592.5634045485872</v>
      </c>
      <c r="K83" s="193">
        <f>InvestTransactionTable[[#This Row],[Current Value]]-InvestTransactionTable[[#This Row],[Invested Value]]</f>
        <v>-1117.5365954514127</v>
      </c>
      <c r="L83" s="194">
        <f>InvestTransactionTable[[#This Row],[Profit]]/InvestTransactionTable[[#This Row],[Invested Value]]</f>
        <v>-0.3012146830143157</v>
      </c>
      <c r="M83" s="195" t="s">
        <v>330</v>
      </c>
      <c r="N83" s="195"/>
      <c r="O83" s="467" t="str">
        <f>TEXT(InvestTransactionTable[[#This Row],[Entry Date]],"MMM-YY")</f>
        <v>Mar-26</v>
      </c>
    </row>
    <row r="84" spans="2:15" x14ac:dyDescent="0.2">
      <c r="B84" s="189">
        <v>46100</v>
      </c>
      <c r="C84" s="190" t="str">
        <f>TEXT(InvestTransactionTable[[#This Row],[Entry Date]],"dddd")</f>
        <v>Thursday</v>
      </c>
      <c r="D84" s="191" t="s">
        <v>80</v>
      </c>
      <c r="E84" s="191" t="str">
        <f>VLOOKUP(InvestTransactionTable[[#This Row],[Stock Name]],AllocationTable[[TRADE]:[TYPE]],3,0)</f>
        <v>Gold ETF</v>
      </c>
      <c r="F84" s="192">
        <v>10</v>
      </c>
      <c r="G84" s="192" t="s">
        <v>238</v>
      </c>
      <c r="H84" s="193">
        <v>121.39</v>
      </c>
      <c r="I84" s="193">
        <f>IF(InvestTransactionTable[[#This Row],[Buy/Sell]]="Buy",InvestTransactionTable[[#This Row],[Quantity]]*InvestTransactionTable[[#This Row],[Price]],InvestTransactionTable[[#This Row],[Quantity]]*InvestTransactionTable[[#This Row],[Price]]*-1)</f>
        <v>-1213.9000000000001</v>
      </c>
      <c r="J84" s="193">
        <f>VLOOKUP(InvestTransactionTable[[#This Row],[Stock Name]],AllocationTable[[TRADE]:[LTP]],6,0)*InvestTransactionTable[[#This Row],[Quantity]]</f>
        <v>864.18780151619569</v>
      </c>
      <c r="K84" s="193">
        <f>InvestTransactionTable[[#This Row],[Current Value]]-InvestTransactionTable[[#This Row],[Invested Value]]</f>
        <v>2078.0878015161957</v>
      </c>
      <c r="L84" s="194">
        <f>InvestTransactionTable[[#This Row],[Profit]]/InvestTransactionTable[[#This Row],[Invested Value]]</f>
        <v>-1.711910208020591</v>
      </c>
      <c r="M84" s="195" t="s">
        <v>330</v>
      </c>
      <c r="N84" s="195"/>
      <c r="O84" s="467" t="str">
        <f>TEXT(InvestTransactionTable[[#This Row],[Entry Date]],"MMM-YY")</f>
        <v>Mar-26</v>
      </c>
    </row>
    <row r="85" spans="2:15" x14ac:dyDescent="0.2">
      <c r="B85" s="189">
        <v>46104</v>
      </c>
      <c r="C85" s="190" t="str">
        <f>TEXT(InvestTransactionTable[[#This Row],[Entry Date]],"dddd")</f>
        <v>Monday</v>
      </c>
      <c r="D85" s="191" t="s">
        <v>80</v>
      </c>
      <c r="E85" s="191" t="str">
        <f>VLOOKUP(InvestTransactionTable[[#This Row],[Stock Name]],AllocationTable[[TRADE]:[TYPE]],3,0)</f>
        <v>Gold ETF</v>
      </c>
      <c r="F85" s="192">
        <v>30</v>
      </c>
      <c r="G85" s="192" t="s">
        <v>178</v>
      </c>
      <c r="H85" s="193">
        <v>112.85</v>
      </c>
      <c r="I85" s="193">
        <f>IF(InvestTransactionTable[[#This Row],[Buy/Sell]]="Buy",InvestTransactionTable[[#This Row],[Quantity]]*InvestTransactionTable[[#This Row],[Price]],InvestTransactionTable[[#This Row],[Quantity]]*InvestTransactionTable[[#This Row],[Price]]*-1)</f>
        <v>3385.5</v>
      </c>
      <c r="J85" s="193">
        <f>VLOOKUP(InvestTransactionTable[[#This Row],[Stock Name]],AllocationTable[[TRADE]:[LTP]],6,0)*InvestTransactionTable[[#This Row],[Quantity]]</f>
        <v>2592.5634045485872</v>
      </c>
      <c r="K85" s="193">
        <f>InvestTransactionTable[[#This Row],[Current Value]]-InvestTransactionTable[[#This Row],[Invested Value]]</f>
        <v>-792.93659545141281</v>
      </c>
      <c r="L85" s="194">
        <f>InvestTransactionTable[[#This Row],[Profit]]/InvestTransactionTable[[#This Row],[Invested Value]]</f>
        <v>-0.23421550596703966</v>
      </c>
      <c r="M85" s="195" t="s">
        <v>330</v>
      </c>
      <c r="N85" s="195"/>
      <c r="O85" s="467" t="str">
        <f>TEXT(InvestTransactionTable[[#This Row],[Entry Date]],"MMM-YY")</f>
        <v>Mar-26</v>
      </c>
    </row>
  </sheetData>
  <conditionalFormatting sqref="G2:G85">
    <cfRule type="containsText" dxfId="11" priority="6" operator="containsText" text="Buy/Sell">
      <formula>NOT(ISERROR(SEARCH("Buy/Sell",G2)))</formula>
    </cfRule>
    <cfRule type="containsText" dxfId="10" priority="7" operator="containsText" text="Sell">
      <formula>NOT(ISERROR(SEARCH("Sell",G2)))</formula>
    </cfRule>
    <cfRule type="containsText" dxfId="9" priority="8" operator="containsText" text="Buy">
      <formula>NOT(ISERROR(SEARCH("Buy",G2)))</formula>
    </cfRule>
  </conditionalFormatting>
  <conditionalFormatting sqref="K2:L85">
    <cfRule type="cellIs" dxfId="8" priority="4" operator="lessThan">
      <formula>0</formula>
    </cfRule>
    <cfRule type="cellIs" dxfId="7" priority="5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8B7E4A-DAAB-4746-95CD-166A2B8589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19</vt:i4>
      </vt:variant>
    </vt:vector>
  </HeadingPairs>
  <TitlesOfParts>
    <vt:vector size="29" baseType="lpstr">
      <vt:lpstr>DashBoard</vt:lpstr>
      <vt:lpstr>Income</vt:lpstr>
      <vt:lpstr>Expenses</vt:lpstr>
      <vt:lpstr>Loan</vt:lpstr>
      <vt:lpstr>Investment</vt:lpstr>
      <vt:lpstr>Corpus</vt:lpstr>
      <vt:lpstr>LongTerm</vt:lpstr>
      <vt:lpstr>Asset</vt:lpstr>
      <vt:lpstr>LatestDump</vt:lpstr>
      <vt:lpstr>Investment Transactions</vt:lpstr>
      <vt:lpstr>avgExpense</vt:lpstr>
      <vt:lpstr>avgIncome</vt:lpstr>
      <vt:lpstr>AvgInvestment</vt:lpstr>
      <vt:lpstr>avgLoanRePayment</vt:lpstr>
      <vt:lpstr>AvgSavings</vt:lpstr>
      <vt:lpstr>BasicSalary</vt:lpstr>
      <vt:lpstr>CurrentMonth</vt:lpstr>
      <vt:lpstr>ExpenseAvg</vt:lpstr>
      <vt:lpstr>IncomeAvg</vt:lpstr>
      <vt:lpstr>InvestmentAvg</vt:lpstr>
      <vt:lpstr>InvestmentQuota</vt:lpstr>
      <vt:lpstr>LoanAvg</vt:lpstr>
      <vt:lpstr>LongTermQuota</vt:lpstr>
      <vt:lpstr>StockPortfolioValue</vt:lpstr>
      <vt:lpstr>StocksWallet</vt:lpstr>
      <vt:lpstr>LongTerm!SummartTable</vt:lpstr>
      <vt:lpstr>SummartTable</vt:lpstr>
      <vt:lpstr>SwingTradeQuota</vt:lpstr>
      <vt:lpstr>TotalMonth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Pratap Mishra</dc:creator>
  <cp:lastModifiedBy>Krishna Pratap Mishra</cp:lastModifiedBy>
  <dcterms:created xsi:type="dcterms:W3CDTF">2025-11-15T18:43:54Z</dcterms:created>
  <dcterms:modified xsi:type="dcterms:W3CDTF">2026-04-11T08:10:14Z</dcterms:modified>
</cp:coreProperties>
</file>