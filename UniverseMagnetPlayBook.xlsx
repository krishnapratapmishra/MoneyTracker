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7"/>
  <workbookPr defaultThemeVersion="166925"/>
  <mc:AlternateContent xmlns:mc="http://schemas.openxmlformats.org/markup-compatibility/2006">
    <mc:Choice Requires="x15">
      <x15ac:absPath xmlns:x15ac="http://schemas.microsoft.com/office/spreadsheetml/2010/11/ac" url="https://d.docs.live.net/463b76b9be83ea5d/MyProject/MoneyTracker/"/>
    </mc:Choice>
  </mc:AlternateContent>
  <xr:revisionPtr revIDLastSave="8" documentId="8_{172B561C-15B4-41B3-8B7B-7A875D707496}" xr6:coauthVersionLast="47" xr6:coauthVersionMax="47" xr10:uidLastSave="{847D1126-12B4-4FF6-A177-A25B95FFED0B}"/>
  <bookViews>
    <workbookView xWindow="-120" yWindow="-120" windowWidth="20640" windowHeight="11040" activeTab="1" xr2:uid="{2323CC24-1836-43E0-9AE7-03F2E130BBD3}"/>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9" i="1" l="1"/>
  <c r="D30" i="1"/>
  <c r="G17" i="1"/>
  <c r="G16" i="1"/>
  <c r="G15" i="1"/>
  <c r="F19" i="1" l="1"/>
</calcChain>
</file>

<file path=xl/sharedStrings.xml><?xml version="1.0" encoding="utf-8"?>
<sst xmlns="http://schemas.openxmlformats.org/spreadsheetml/2006/main" count="195" uniqueCount="114">
  <si>
    <t>My Wealth Creation Engine</t>
  </si>
  <si>
    <t>Category</t>
  </si>
  <si>
    <t>🚀 Growth (Equity)</t>
  </si>
  <si>
    <t>Wealth creation engine</t>
  </si>
  <si>
    <t>🛡️ Stability (Debt)</t>
  </si>
  <si>
    <t>Safety + consistency</t>
  </si>
  <si>
    <t>🪙 Commodities (Gold/Silver)</t>
  </si>
  <si>
    <t>Hedge against uncertainty</t>
  </si>
  <si>
    <t>🏡 Real Estate (Land/Plot)</t>
  </si>
  <si>
    <t>Tangible long-term asset</t>
  </si>
  <si>
    <t>💧 Liquidity (Cash/FD)</t>
  </si>
  <si>
    <t>Emergency + opportunities</t>
  </si>
  <si>
    <t>AssetName</t>
  </si>
  <si>
    <t>AssetType</t>
  </si>
  <si>
    <t>Equity</t>
  </si>
  <si>
    <t>Asset comes under this category</t>
  </si>
  <si>
    <t>PPF, Epmloyee PF , Employer PF, Sukanya Smridhi Yojana</t>
  </si>
  <si>
    <t>SGB, Physical Gold, Digital Gold , Gold Mutual Fund, Gold ETF</t>
  </si>
  <si>
    <t>Land , Flat</t>
  </si>
  <si>
    <t xml:space="preserve">FD, RD , Wallet Cash </t>
  </si>
  <si>
    <t>Create One Wealth Creation Engine DashBorad . Use a transparent theme and some good walth /money related images in background. Graph should show once circle at Top which shows the sum of current values of all catgerory allocation. Once click on that circle card , its should open up one card for each  category and shoudl show the details for that cateory (investment in that category ,  current values , Return ,   Expected % alloction , Actual % of total investment , % of total Return) . Once click on the category card it shod drill down the new cards for actual assest and their info which comes under this.</t>
  </si>
  <si>
    <t>Allocation%</t>
  </si>
  <si>
    <t>Purpose</t>
  </si>
  <si>
    <t>Retirement</t>
  </si>
  <si>
    <t>Retirement Corpus</t>
  </si>
  <si>
    <t xml:space="preserve">Independent </t>
  </si>
  <si>
    <t xml:space="preserve">Retirement Corpus and Pension </t>
  </si>
  <si>
    <t>NPS, Employer PF</t>
  </si>
  <si>
    <t>Stocks</t>
  </si>
  <si>
    <t>Mutual Fund</t>
  </si>
  <si>
    <t>ETF</t>
  </si>
  <si>
    <t xml:space="preserve">use Primary Colored Tabs (Module-aware active state) (refer - http://127.0.0.1:5000/palette) -06 — Tab &amp; Navigation Colors)
each tab should have unique tab color . </t>
  </si>
  <si>
    <t xml:space="preserve">UI Enhancemnet </t>
  </si>
  <si>
    <t xml:space="preserve">Universe Home </t>
  </si>
  <si>
    <t xml:space="preserve">make these below cards explorable on click . Should list out the details of nubers respectively </t>
  </si>
  <si>
    <t>implement this on all tabs page available on Universe Home</t>
  </si>
  <si>
    <t>Uiverse Home--&gt; Money  (tab)</t>
  </si>
  <si>
    <t xml:space="preserve">Add one more tab "Trend" next to  long term vision and current status. Which should show trend grap of all status belongs to that respective card. Should allow to filter status with checkbox </t>
  </si>
  <si>
    <t>Stocks, Equity Mutual Fund , ETF</t>
  </si>
  <si>
    <t>PPF</t>
  </si>
  <si>
    <t>Pyhsical Gold</t>
  </si>
  <si>
    <t>Digital Gold</t>
  </si>
  <si>
    <t>Flat</t>
  </si>
  <si>
    <t>IRA</t>
  </si>
  <si>
    <t>Silver</t>
  </si>
  <si>
    <t>Gold</t>
  </si>
  <si>
    <t>Show Five Cards vertical cards as below as below . Highlight the Target value (big font) and then below it the current progress. Ex. Target 100 ,Current : 45</t>
  </si>
  <si>
    <t>add below cards - Financial Health , Investment Decipline , Income Source ,  Emegency Fund, Zero Debt</t>
  </si>
  <si>
    <t>Configure Targets should have two section and current scores should calculate based on that. leave the Discipline Rules section as it is and only Update the Investment  allocation targets same as wealth engine in 6 section and their Allocation % . This should be configurable and can be updated by user any time. once user update here this should reflect on wealth Engine cards target as well.</t>
  </si>
  <si>
    <t xml:space="preserve">Updates on card shoul maintained under status same like other magenet cards and should diplay the trend chart </t>
  </si>
  <si>
    <t>add status entry based on monthly transaction inputs comes in transaction table . Finnacia health score of each month ,investmnet decipline score, distinct no of income source , emergency fund status, Loan EMI %)</t>
  </si>
  <si>
    <t xml:space="preserve">remove income source section from this page and move it to Money Tracker--&gt; Dashboad page </t>
  </si>
  <si>
    <t xml:space="preserve">remove 📊 Investment Allocation vs Target graph from this page to Money Tracker --&gt; Portfolio --&gt; before Asset Allocation by Type graph </t>
  </si>
  <si>
    <t>Move Salary deductions Section from this page to Money Tracker --&gt; Dashbaord --&gt; above  monthly trend graph</t>
  </si>
  <si>
    <t xml:space="preserve">Remove fixed 4 cards from vision Goal section and make all of them configurable. </t>
  </si>
  <si>
    <t xml:space="preserve"> Don’t show Add vison card card on page. This should handle from +visio card button availble at money magnet header card. Remove the Long Term vison and current status button from magnet pages. By default it should show Long term vision page and incorporate cuurent status burtton within header band right corner (toggle on off ) , On- swith to cuurent sttaus page , off- back to main Lonag term vision page (implement this on all magnet tab pages. )</t>
  </si>
  <si>
    <t xml:space="preserve">Wealth Engine </t>
  </si>
  <si>
    <t>Provide some color change/insert image option for below card</t>
  </si>
  <si>
    <t xml:space="preserve">Move tabs (portfolio,Live Market, Investmnets, and trading)  from Money tracker to Wealth engine </t>
  </si>
  <si>
    <t xml:space="preserve">Need fix </t>
  </si>
  <si>
    <t>Employee PF</t>
  </si>
  <si>
    <t>Employer PF</t>
  </si>
  <si>
    <t>Real State</t>
  </si>
  <si>
    <t>Commodities</t>
  </si>
  <si>
    <t>AssetClass</t>
  </si>
  <si>
    <t>Stability</t>
  </si>
  <si>
    <t>Fixed Income</t>
  </si>
  <si>
    <t>Growth</t>
  </si>
  <si>
    <t>Real Estate</t>
  </si>
  <si>
    <t>AssetCategory</t>
  </si>
  <si>
    <t>Bond</t>
  </si>
  <si>
    <t>RBI SGB</t>
  </si>
  <si>
    <t>Jwellery</t>
  </si>
  <si>
    <t>CRED Digital Gold</t>
  </si>
  <si>
    <t>SBI Gold Mutul Fund</t>
  </si>
  <si>
    <t>GOLDBEES</t>
  </si>
  <si>
    <t>SILVERBEES</t>
  </si>
  <si>
    <t>RBI PPF</t>
  </si>
  <si>
    <t>SBI, ICICI, HDFC, RELIANCE and 100 mores</t>
  </si>
  <si>
    <t>SBI LARGE CAP, SBI MID CAP, SBI SMALL CAP and 10 more</t>
  </si>
  <si>
    <t>NIFTYBEES,BANKBEES,JUNIORBEES and 5 mores</t>
  </si>
  <si>
    <t>RBI Sukanaya Smridhi yojana</t>
  </si>
  <si>
    <t>Hybrid</t>
  </si>
  <si>
    <t>Pension Scheme</t>
  </si>
  <si>
    <t>Plot</t>
  </si>
  <si>
    <t>Bangalore Plot</t>
  </si>
  <si>
    <t>Bangalore Flat</t>
  </si>
  <si>
    <t>Sukanya Smridhi</t>
  </si>
  <si>
    <t>total_invested</t>
  </si>
  <si>
    <t>current_value</t>
  </si>
  <si>
    <t>total_return</t>
  </si>
  <si>
    <t>purpose</t>
  </si>
  <si>
    <t>return_pct</t>
  </si>
  <si>
    <t>updated_at</t>
  </si>
  <si>
    <t>Corpus</t>
  </si>
  <si>
    <t>Ira Corpus</t>
  </si>
  <si>
    <t>Alter table Portfolio</t>
  </si>
  <si>
    <t>Gold ETF</t>
  </si>
  <si>
    <t>id</t>
  </si>
  <si>
    <t>symbol</t>
  </si>
  <si>
    <t>qty</t>
  </si>
  <si>
    <t>avg_price</t>
  </si>
  <si>
    <t>ltp</t>
  </si>
  <si>
    <t>invested_value</t>
  </si>
  <si>
    <t>pnl</t>
  </si>
  <si>
    <t>pnl_pct</t>
  </si>
  <si>
    <t>last_synced</t>
  </si>
  <si>
    <t>target_pct</t>
  </si>
  <si>
    <t>Alter table assets</t>
  </si>
  <si>
    <t>Government Bond/Yojana</t>
  </si>
  <si>
    <t>EPF</t>
  </si>
  <si>
    <t>Employer PF, Employe PF</t>
  </si>
  <si>
    <t>NPS Tier1</t>
  </si>
  <si>
    <t>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</si>
</sst>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theme="0"/>
      <name val="Calibri"/>
      <family val="2"/>
      <scheme val="minor"/>
    </font>
    <font>
      <sz val="10"/>
      <color rgb="FF000000"/>
      <name val="Courier New"/>
      <family val="3"/>
    </font>
    <font>
      <sz val="10"/>
      <color rgb="FF000000"/>
      <name val="Arial Unicode MS"/>
    </font>
    <font>
      <i/>
      <sz val="10"/>
      <color rgb="FFC0C0C0"/>
      <name val="Courier New"/>
      <family val="3"/>
    </font>
  </fonts>
  <fills count="6">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vertical="center" wrapText="1"/>
    </xf>
    <xf numFmtId="9" fontId="1" fillId="0" borderId="1" xfId="0" applyNumberFormat="1" applyFont="1" applyBorder="1" applyAlignment="1">
      <alignment vertical="center" wrapText="1"/>
    </xf>
    <xf numFmtId="0" fontId="0" fillId="0" borderId="1" xfId="0" applyBorder="1" applyAlignment="1">
      <alignment wrapText="1"/>
    </xf>
    <xf numFmtId="0" fontId="0" fillId="2" borderId="0" xfId="0" applyFill="1" applyAlignment="1">
      <alignment vertical="center"/>
    </xf>
    <xf numFmtId="0" fontId="0" fillId="2" borderId="0" xfId="0" applyFill="1" applyAlignment="1">
      <alignment vertical="center" wrapText="1"/>
    </xf>
    <xf numFmtId="4" fontId="0" fillId="0" borderId="0" xfId="0" applyNumberFormat="1" applyAlignment="1">
      <alignment wrapText="1"/>
    </xf>
    <xf numFmtId="0" fontId="0" fillId="0" borderId="5" xfId="0" applyBorder="1" applyAlignment="1">
      <alignment wrapText="1"/>
    </xf>
    <xf numFmtId="0" fontId="1" fillId="0" borderId="6" xfId="0" applyFont="1" applyBorder="1" applyAlignment="1">
      <alignment horizontal="center" vertical="center" wrapText="1"/>
    </xf>
    <xf numFmtId="0" fontId="3" fillId="5" borderId="6" xfId="0" applyFont="1" applyFill="1" applyBorder="1" applyAlignment="1">
      <alignment horizontal="right" vertical="center" wrapText="1"/>
    </xf>
    <xf numFmtId="0" fontId="3" fillId="5" borderId="6" xfId="0" applyFont="1" applyFill="1" applyBorder="1" applyAlignment="1">
      <alignment horizontal="left" vertical="center" wrapText="1"/>
    </xf>
    <xf numFmtId="22" fontId="3" fillId="5" borderId="6" xfId="0" applyNumberFormat="1" applyFont="1" applyFill="1" applyBorder="1" applyAlignment="1">
      <alignment horizontal="left" vertical="center" wrapText="1"/>
    </xf>
    <xf numFmtId="0" fontId="5" fillId="5" borderId="6" xfId="0" applyFont="1" applyFill="1" applyBorder="1" applyAlignment="1">
      <alignment horizontal="left" vertical="center" wrapText="1"/>
    </xf>
    <xf numFmtId="0" fontId="2" fillId="3" borderId="1" xfId="0" applyFont="1" applyFill="1" applyBorder="1" applyAlignment="1">
      <alignment wrapText="1"/>
    </xf>
    <xf numFmtId="0" fontId="0" fillId="4" borderId="1" xfId="0" applyFill="1" applyBorder="1" applyAlignment="1">
      <alignment wrapText="1"/>
    </xf>
    <xf numFmtId="0" fontId="4" fillId="5" borderId="1" xfId="0" applyFont="1" applyFill="1" applyBorder="1" applyAlignment="1">
      <alignment vertical="center"/>
    </xf>
    <xf numFmtId="0" fontId="3" fillId="5" borderId="1" xfId="0" applyFont="1" applyFill="1" applyBorder="1" applyAlignment="1">
      <alignment vertical="center" wrapText="1"/>
    </xf>
    <xf numFmtId="0" fontId="5" fillId="5" borderId="1" xfId="0" applyFont="1" applyFill="1" applyBorder="1" applyAlignment="1">
      <alignment vertical="center" wrapText="1"/>
    </xf>
    <xf numFmtId="0" fontId="3" fillId="5" borderId="1" xfId="0" applyFont="1" applyFill="1" applyBorder="1" applyAlignment="1">
      <alignment horizontal="right" vertical="center" wrapText="1"/>
    </xf>
    <xf numFmtId="0" fontId="5" fillId="5" borderId="1" xfId="0" applyFont="1" applyFill="1" applyBorder="1" applyAlignment="1">
      <alignment horizontal="right" vertical="center" wrapText="1"/>
    </xf>
    <xf numFmtId="0" fontId="3"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22" fontId="3" fillId="5" borderId="1" xfId="0" applyNumberFormat="1" applyFont="1" applyFill="1" applyBorder="1" applyAlignment="1">
      <alignment horizontal="left"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2" borderId="0" xfId="0" applyFill="1" applyAlignment="1">
      <alignment vertical="center"/>
    </xf>
    <xf numFmtId="0" fontId="0" fillId="2" borderId="0" xfId="0" applyFill="1" applyAlignment="1">
      <alignment horizontal="left" vertical="center"/>
    </xf>
  </cellXfs>
  <cellStyles count="1">
    <cellStyle name="Normal" xfId="0" builtinId="0"/>
  </cellStyles>
  <dxfs count="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3</xdr:col>
      <xdr:colOff>468197</xdr:colOff>
      <xdr:row>10</xdr:row>
      <xdr:rowOff>133528</xdr:rowOff>
    </xdr:to>
    <xdr:pic>
      <xdr:nvPicPr>
        <xdr:cNvPr id="4" name="Picture 3">
          <a:extLst>
            <a:ext uri="{FF2B5EF4-FFF2-40B4-BE49-F238E27FC236}">
              <a16:creationId xmlns:a16="http://schemas.microsoft.com/office/drawing/2014/main" id="{B14097D0-26B3-4813-AF32-6FD796D3873A}"/>
            </a:ext>
          </a:extLst>
        </xdr:cNvPr>
        <xdr:cNvPicPr>
          <a:picLocks noChangeAspect="1"/>
        </xdr:cNvPicPr>
      </xdr:nvPicPr>
      <xdr:blipFill>
        <a:blip xmlns:r="http://schemas.openxmlformats.org/officeDocument/2006/relationships" r:embed="rId1"/>
        <a:stretch>
          <a:fillRect/>
        </a:stretch>
      </xdr:blipFill>
      <xdr:spPr>
        <a:xfrm>
          <a:off x="1619250" y="952500"/>
          <a:ext cx="10545647" cy="1276528"/>
        </a:xfrm>
        <a:prstGeom prst="rect">
          <a:avLst/>
        </a:prstGeom>
      </xdr:spPr>
    </xdr:pic>
    <xdr:clientData/>
  </xdr:twoCellAnchor>
  <xdr:twoCellAnchor editAs="oneCell">
    <xdr:from>
      <xdr:col>2</xdr:col>
      <xdr:colOff>0</xdr:colOff>
      <xdr:row>16</xdr:row>
      <xdr:rowOff>0</xdr:rowOff>
    </xdr:from>
    <xdr:to>
      <xdr:col>2</xdr:col>
      <xdr:colOff>1933845</xdr:colOff>
      <xdr:row>32</xdr:row>
      <xdr:rowOff>105215</xdr:rowOff>
    </xdr:to>
    <xdr:pic>
      <xdr:nvPicPr>
        <xdr:cNvPr id="5" name="Picture 4">
          <a:extLst>
            <a:ext uri="{FF2B5EF4-FFF2-40B4-BE49-F238E27FC236}">
              <a16:creationId xmlns:a16="http://schemas.microsoft.com/office/drawing/2014/main" id="{067C09DA-8A7E-458B-D852-5FD6EB2D6548}"/>
            </a:ext>
          </a:extLst>
        </xdr:cNvPr>
        <xdr:cNvPicPr>
          <a:picLocks noChangeAspect="1"/>
        </xdr:cNvPicPr>
      </xdr:nvPicPr>
      <xdr:blipFill>
        <a:blip xmlns:r="http://schemas.openxmlformats.org/officeDocument/2006/relationships" r:embed="rId2"/>
        <a:stretch>
          <a:fillRect/>
        </a:stretch>
      </xdr:blipFill>
      <xdr:spPr>
        <a:xfrm>
          <a:off x="1619250" y="3429000"/>
          <a:ext cx="1933845" cy="3153215"/>
        </a:xfrm>
        <a:prstGeom prst="rect">
          <a:avLst/>
        </a:prstGeom>
      </xdr:spPr>
    </xdr:pic>
    <xdr:clientData/>
  </xdr:twoCellAnchor>
  <xdr:twoCellAnchor editAs="oneCell">
    <xdr:from>
      <xdr:col>2</xdr:col>
      <xdr:colOff>0</xdr:colOff>
      <xdr:row>43</xdr:row>
      <xdr:rowOff>0</xdr:rowOff>
    </xdr:from>
    <xdr:to>
      <xdr:col>2</xdr:col>
      <xdr:colOff>3658111</xdr:colOff>
      <xdr:row>56</xdr:row>
      <xdr:rowOff>114662</xdr:rowOff>
    </xdr:to>
    <xdr:pic>
      <xdr:nvPicPr>
        <xdr:cNvPr id="7" name="Picture 6">
          <a:extLst>
            <a:ext uri="{FF2B5EF4-FFF2-40B4-BE49-F238E27FC236}">
              <a16:creationId xmlns:a16="http://schemas.microsoft.com/office/drawing/2014/main" id="{C8EFB8DB-2065-9CB9-D53E-B583B4DAED37}"/>
            </a:ext>
          </a:extLst>
        </xdr:cNvPr>
        <xdr:cNvPicPr>
          <a:picLocks noChangeAspect="1"/>
        </xdr:cNvPicPr>
      </xdr:nvPicPr>
      <xdr:blipFill>
        <a:blip xmlns:r="http://schemas.openxmlformats.org/officeDocument/2006/relationships" r:embed="rId3"/>
        <a:stretch>
          <a:fillRect/>
        </a:stretch>
      </xdr:blipFill>
      <xdr:spPr>
        <a:xfrm>
          <a:off x="1619250" y="9525000"/>
          <a:ext cx="3658111" cy="259116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01EB00-E54C-484D-898D-1441F916799F}" name="Table1" displayName="Table1" ref="A14:D29" totalsRowShown="0" headerRowDxfId="5" dataDxfId="4">
  <autoFilter ref="A14:D29" xr:uid="{3901EB00-E54C-484D-898D-1441F916799F}"/>
  <sortState xmlns:xlrd2="http://schemas.microsoft.com/office/spreadsheetml/2017/richdata2" ref="A15:D29">
    <sortCondition ref="A14:A29"/>
  </sortState>
  <tableColumns count="4">
    <tableColumn id="1" xr3:uid="{2199B2CD-AE16-4590-A6C6-D7605DA731D8}" name="AssetClass" dataDxfId="3"/>
    <tableColumn id="4" xr3:uid="{BC683BC2-6450-4BCD-910D-89D033372D17}" name="AssetCategory" dataDxfId="2"/>
    <tableColumn id="2" xr3:uid="{FD92D1C9-BD0C-4247-8070-72E636B8F614}" name="AssetType" dataDxfId="1"/>
    <tableColumn id="3" xr3:uid="{ED6AA581-8410-4FE8-8DD4-F99846ABBB54}" name="Asset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A29F5-1627-472F-B5D0-9D076AE230FA}">
  <dimension ref="A1:I50"/>
  <sheetViews>
    <sheetView topLeftCell="A34" workbookViewId="0">
      <selection activeCell="A14" sqref="A14:C29"/>
    </sheetView>
  </sheetViews>
  <sheetFormatPr defaultRowHeight="15"/>
  <cols>
    <col min="1" max="1" width="21.28515625" style="1" customWidth="1"/>
    <col min="2" max="2" width="26" style="1" customWidth="1"/>
    <col min="3" max="3" width="25.5703125" style="1" bestFit="1" customWidth="1"/>
    <col min="4" max="4" width="38.7109375" style="1" customWidth="1"/>
    <col min="5" max="5" width="55.7109375" style="1" bestFit="1" customWidth="1"/>
    <col min="6" max="16384" width="9.140625" style="1"/>
  </cols>
  <sheetData>
    <row r="1" spans="1:8" ht="15.75" thickBot="1"/>
    <row r="2" spans="1:8" ht="90" customHeight="1" thickBot="1">
      <c r="B2" s="25" t="s">
        <v>20</v>
      </c>
      <c r="C2" s="26"/>
      <c r="D2" s="26"/>
      <c r="E2" s="27"/>
    </row>
    <row r="3" spans="1:8">
      <c r="D3" s="1" t="s">
        <v>0</v>
      </c>
    </row>
    <row r="4" spans="1:8">
      <c r="B4" s="2" t="s">
        <v>1</v>
      </c>
      <c r="C4" s="2" t="s">
        <v>21</v>
      </c>
      <c r="D4" s="2" t="s">
        <v>22</v>
      </c>
      <c r="E4" s="2" t="s">
        <v>15</v>
      </c>
    </row>
    <row r="5" spans="1:8">
      <c r="B5" s="3" t="s">
        <v>2</v>
      </c>
      <c r="C5" s="4">
        <v>0.6</v>
      </c>
      <c r="D5" s="3" t="s">
        <v>3</v>
      </c>
      <c r="E5" s="5" t="s">
        <v>38</v>
      </c>
    </row>
    <row r="6" spans="1:8">
      <c r="B6" s="3" t="s">
        <v>4</v>
      </c>
      <c r="C6" s="4">
        <v>0.2</v>
      </c>
      <c r="D6" s="3" t="s">
        <v>5</v>
      </c>
      <c r="E6" s="5" t="s">
        <v>16</v>
      </c>
    </row>
    <row r="7" spans="1:8" ht="30">
      <c r="B7" s="3" t="s">
        <v>6</v>
      </c>
      <c r="C7" s="4">
        <v>0.1</v>
      </c>
      <c r="D7" s="3" t="s">
        <v>7</v>
      </c>
      <c r="E7" s="5" t="s">
        <v>17</v>
      </c>
    </row>
    <row r="8" spans="1:8">
      <c r="B8" s="3" t="s">
        <v>8</v>
      </c>
      <c r="C8" s="4">
        <v>0.05</v>
      </c>
      <c r="D8" s="3" t="s">
        <v>9</v>
      </c>
      <c r="E8" s="5" t="s">
        <v>18</v>
      </c>
    </row>
    <row r="9" spans="1:8">
      <c r="B9" s="3" t="s">
        <v>10</v>
      </c>
      <c r="C9" s="4">
        <v>0.05</v>
      </c>
      <c r="D9" s="3" t="s">
        <v>11</v>
      </c>
      <c r="E9" s="5" t="s">
        <v>19</v>
      </c>
    </row>
    <row r="10" spans="1:8">
      <c r="B10" s="3" t="s">
        <v>24</v>
      </c>
      <c r="C10" s="5" t="s">
        <v>25</v>
      </c>
      <c r="D10" s="3" t="s">
        <v>26</v>
      </c>
      <c r="E10" s="5" t="s">
        <v>27</v>
      </c>
    </row>
    <row r="13" spans="1:8">
      <c r="B13" s="8">
        <v>1449972</v>
      </c>
    </row>
    <row r="14" spans="1:8">
      <c r="A14" s="1" t="s">
        <v>64</v>
      </c>
      <c r="B14" s="1" t="s">
        <v>69</v>
      </c>
      <c r="C14" s="1" t="s">
        <v>13</v>
      </c>
      <c r="D14" s="1" t="s">
        <v>12</v>
      </c>
      <c r="F14" s="1" t="s">
        <v>43</v>
      </c>
    </row>
    <row r="15" spans="1:8">
      <c r="A15" s="1" t="s">
        <v>63</v>
      </c>
      <c r="B15" s="1" t="s">
        <v>45</v>
      </c>
      <c r="C15" s="1" t="s">
        <v>113</v>
      </c>
      <c r="D15" s="1" t="s">
        <v>71</v>
      </c>
      <c r="F15" s="1">
        <v>10000</v>
      </c>
      <c r="G15" s="1">
        <f>F15*85%</f>
        <v>8500</v>
      </c>
      <c r="H15" s="1" t="s">
        <v>14</v>
      </c>
    </row>
    <row r="16" spans="1:8">
      <c r="A16" s="1" t="s">
        <v>63</v>
      </c>
      <c r="B16" s="1" t="s">
        <v>45</v>
      </c>
      <c r="C16" s="1" t="s">
        <v>40</v>
      </c>
      <c r="D16" s="1" t="s">
        <v>72</v>
      </c>
      <c r="E16" s="1">
        <v>35000</v>
      </c>
      <c r="G16" s="1">
        <f>F15*10%</f>
        <v>1000</v>
      </c>
      <c r="H16" s="1" t="s">
        <v>45</v>
      </c>
    </row>
    <row r="17" spans="1:8">
      <c r="A17" s="1" t="s">
        <v>63</v>
      </c>
      <c r="B17" s="1" t="s">
        <v>45</v>
      </c>
      <c r="C17" s="1" t="s">
        <v>41</v>
      </c>
      <c r="D17" s="1" t="s">
        <v>73</v>
      </c>
      <c r="E17" s="1">
        <v>8500</v>
      </c>
      <c r="G17" s="1">
        <f>F15*5%</f>
        <v>500</v>
      </c>
      <c r="H17" s="1" t="s">
        <v>44</v>
      </c>
    </row>
    <row r="18" spans="1:8">
      <c r="A18" s="1" t="s">
        <v>63</v>
      </c>
      <c r="B18" s="1" t="s">
        <v>45</v>
      </c>
      <c r="C18" s="1" t="s">
        <v>29</v>
      </c>
      <c r="D18" s="1" t="s">
        <v>74</v>
      </c>
      <c r="E18" s="1">
        <v>250</v>
      </c>
    </row>
    <row r="19" spans="1:8">
      <c r="A19" s="1" t="s">
        <v>63</v>
      </c>
      <c r="B19" s="1" t="s">
        <v>45</v>
      </c>
      <c r="C19" s="1" t="s">
        <v>30</v>
      </c>
      <c r="D19" s="1" t="s">
        <v>75</v>
      </c>
      <c r="E19" s="1">
        <f>B13*12%/6</f>
        <v>28999.439999999999</v>
      </c>
      <c r="F19" s="1">
        <f>E19/2</f>
        <v>14499.72</v>
      </c>
    </row>
    <row r="20" spans="1:8">
      <c r="A20" s="1" t="s">
        <v>63</v>
      </c>
      <c r="B20" s="1" t="s">
        <v>44</v>
      </c>
      <c r="C20" s="1" t="s">
        <v>30</v>
      </c>
      <c r="D20" s="1" t="s">
        <v>76</v>
      </c>
    </row>
    <row r="21" spans="1:8">
      <c r="A21" s="1" t="s">
        <v>67</v>
      </c>
      <c r="B21" s="1" t="s">
        <v>14</v>
      </c>
      <c r="C21" s="1" t="s">
        <v>28</v>
      </c>
      <c r="D21" s="1" t="s">
        <v>78</v>
      </c>
      <c r="E21" s="1">
        <v>12500</v>
      </c>
    </row>
    <row r="22" spans="1:8" ht="30">
      <c r="A22" s="1" t="s">
        <v>67</v>
      </c>
      <c r="B22" s="1" t="s">
        <v>14</v>
      </c>
      <c r="C22" s="1" t="s">
        <v>29</v>
      </c>
      <c r="D22" s="1" t="s">
        <v>79</v>
      </c>
      <c r="E22" s="1">
        <v>0</v>
      </c>
    </row>
    <row r="23" spans="1:8" ht="30">
      <c r="A23" s="1" t="s">
        <v>67</v>
      </c>
      <c r="B23" s="1" t="s">
        <v>14</v>
      </c>
      <c r="C23" s="1" t="s">
        <v>30</v>
      </c>
      <c r="D23" s="1" t="s">
        <v>80</v>
      </c>
      <c r="E23" s="1">
        <v>0</v>
      </c>
    </row>
    <row r="24" spans="1:8">
      <c r="A24" s="1" t="s">
        <v>62</v>
      </c>
      <c r="B24" s="9" t="s">
        <v>68</v>
      </c>
      <c r="C24" s="1" t="s">
        <v>84</v>
      </c>
      <c r="D24" s="1" t="s">
        <v>85</v>
      </c>
      <c r="E24" s="1">
        <v>3000</v>
      </c>
    </row>
    <row r="25" spans="1:8">
      <c r="A25" s="1" t="s">
        <v>62</v>
      </c>
      <c r="B25" s="9" t="s">
        <v>68</v>
      </c>
      <c r="C25" s="1" t="s">
        <v>42</v>
      </c>
      <c r="D25" s="1" t="s">
        <v>86</v>
      </c>
      <c r="E25" s="1">
        <v>4000</v>
      </c>
    </row>
    <row r="26" spans="1:8">
      <c r="A26" s="1" t="s">
        <v>23</v>
      </c>
      <c r="B26" s="1" t="s">
        <v>82</v>
      </c>
      <c r="C26" s="1" t="s">
        <v>83</v>
      </c>
      <c r="D26" s="1" t="s">
        <v>112</v>
      </c>
      <c r="E26" s="1">
        <v>500</v>
      </c>
    </row>
    <row r="27" spans="1:8">
      <c r="A27" s="1" t="s">
        <v>65</v>
      </c>
      <c r="B27" s="1" t="s">
        <v>66</v>
      </c>
      <c r="C27" s="1" t="s">
        <v>39</v>
      </c>
      <c r="D27" s="1" t="s">
        <v>77</v>
      </c>
      <c r="E27" s="1">
        <v>0</v>
      </c>
    </row>
    <row r="28" spans="1:8">
      <c r="A28" s="1" t="s">
        <v>65</v>
      </c>
      <c r="B28" s="1" t="s">
        <v>66</v>
      </c>
      <c r="C28" s="1" t="s">
        <v>110</v>
      </c>
      <c r="D28" s="1" t="s">
        <v>111</v>
      </c>
      <c r="E28" s="1">
        <v>0</v>
      </c>
    </row>
    <row r="29" spans="1:8">
      <c r="A29" s="1" t="s">
        <v>65</v>
      </c>
      <c r="B29" s="1" t="s">
        <v>66</v>
      </c>
      <c r="C29" s="1" t="s">
        <v>109</v>
      </c>
      <c r="D29" s="1" t="s">
        <v>81</v>
      </c>
      <c r="E29" s="1">
        <v>16916</v>
      </c>
    </row>
    <row r="30" spans="1:8">
      <c r="D30" s="1">
        <f>B13*14%/12</f>
        <v>16916.34</v>
      </c>
    </row>
    <row r="32" spans="1:8">
      <c r="A32" s="1" t="s">
        <v>96</v>
      </c>
    </row>
    <row r="34" spans="1:9" ht="30">
      <c r="A34" s="15" t="s">
        <v>64</v>
      </c>
      <c r="B34" s="15" t="s">
        <v>69</v>
      </c>
      <c r="C34" s="15" t="s">
        <v>13</v>
      </c>
      <c r="D34" s="2" t="s">
        <v>88</v>
      </c>
      <c r="E34" s="2" t="s">
        <v>89</v>
      </c>
      <c r="F34" s="2" t="s">
        <v>90</v>
      </c>
      <c r="G34" s="2" t="s">
        <v>91</v>
      </c>
      <c r="H34" s="2" t="s">
        <v>92</v>
      </c>
      <c r="I34" s="2" t="s">
        <v>93</v>
      </c>
    </row>
    <row r="35" spans="1:9">
      <c r="A35" s="16" t="s">
        <v>63</v>
      </c>
      <c r="B35" s="16" t="s">
        <v>45</v>
      </c>
      <c r="C35" s="16" t="s">
        <v>70</v>
      </c>
      <c r="D35" s="5"/>
      <c r="E35" s="17"/>
      <c r="F35" s="18"/>
      <c r="G35" s="18"/>
      <c r="H35" s="19"/>
      <c r="I35" s="19"/>
    </row>
    <row r="36" spans="1:9">
      <c r="A36" s="5" t="s">
        <v>63</v>
      </c>
      <c r="B36" s="5" t="s">
        <v>45</v>
      </c>
      <c r="C36" s="5" t="s">
        <v>40</v>
      </c>
      <c r="D36" s="5"/>
      <c r="E36" s="17"/>
      <c r="F36" s="18"/>
      <c r="G36" s="18"/>
      <c r="H36" s="19"/>
      <c r="I36" s="19"/>
    </row>
    <row r="37" spans="1:9">
      <c r="A37" s="16" t="s">
        <v>63</v>
      </c>
      <c r="B37" s="16" t="s">
        <v>45</v>
      </c>
      <c r="C37" s="16" t="s">
        <v>41</v>
      </c>
      <c r="D37" s="5"/>
      <c r="E37" s="5"/>
      <c r="F37" s="5"/>
      <c r="G37" s="5"/>
      <c r="H37" s="5"/>
      <c r="I37" s="5"/>
    </row>
    <row r="38" spans="1:9">
      <c r="A38" s="5" t="s">
        <v>63</v>
      </c>
      <c r="B38" s="5" t="s">
        <v>45</v>
      </c>
      <c r="C38" s="5" t="s">
        <v>29</v>
      </c>
      <c r="D38" s="5"/>
      <c r="E38" s="5"/>
      <c r="F38" s="5"/>
      <c r="G38" s="5"/>
      <c r="H38" s="5"/>
      <c r="I38" s="5"/>
    </row>
    <row r="39" spans="1:9">
      <c r="A39" s="16" t="s">
        <v>63</v>
      </c>
      <c r="B39" s="16" t="s">
        <v>45</v>
      </c>
      <c r="C39" s="16" t="s">
        <v>30</v>
      </c>
      <c r="D39" s="5"/>
      <c r="E39" s="5"/>
      <c r="F39" s="5"/>
      <c r="G39" s="5"/>
      <c r="H39" s="5"/>
      <c r="I39" s="5"/>
    </row>
    <row r="40" spans="1:9">
      <c r="A40" s="5" t="s">
        <v>63</v>
      </c>
      <c r="B40" s="5" t="s">
        <v>44</v>
      </c>
      <c r="C40" s="5" t="s">
        <v>30</v>
      </c>
      <c r="D40" s="5"/>
      <c r="E40" s="5"/>
      <c r="F40" s="5"/>
      <c r="G40" s="5"/>
      <c r="H40" s="5"/>
      <c r="I40" s="5"/>
    </row>
    <row r="41" spans="1:9">
      <c r="A41" s="16" t="s">
        <v>67</v>
      </c>
      <c r="B41" s="16" t="s">
        <v>14</v>
      </c>
      <c r="C41" s="16" t="s">
        <v>28</v>
      </c>
      <c r="D41" s="18">
        <v>2082659</v>
      </c>
      <c r="E41" s="19"/>
      <c r="F41" s="19"/>
      <c r="G41" s="18" t="s">
        <v>94</v>
      </c>
      <c r="H41" s="18">
        <v>0</v>
      </c>
      <c r="I41" s="19"/>
    </row>
    <row r="42" spans="1:9">
      <c r="A42" s="5" t="s">
        <v>67</v>
      </c>
      <c r="B42" s="5" t="s">
        <v>14</v>
      </c>
      <c r="C42" s="5" t="s">
        <v>29</v>
      </c>
      <c r="D42" s="20">
        <v>746428</v>
      </c>
      <c r="E42" s="21"/>
      <c r="F42" s="21"/>
      <c r="G42" s="22" t="s">
        <v>94</v>
      </c>
      <c r="H42" s="20">
        <v>0</v>
      </c>
      <c r="I42" s="23"/>
    </row>
    <row r="43" spans="1:9" ht="27">
      <c r="A43" s="16" t="s">
        <v>67</v>
      </c>
      <c r="B43" s="16" t="s">
        <v>14</v>
      </c>
      <c r="C43" s="16" t="s">
        <v>30</v>
      </c>
      <c r="D43" s="20">
        <v>156242</v>
      </c>
      <c r="E43" s="20">
        <v>159177.88</v>
      </c>
      <c r="F43" s="20">
        <v>2935.88</v>
      </c>
      <c r="G43" s="22" t="s">
        <v>95</v>
      </c>
      <c r="H43" s="20">
        <v>1.87905940784168</v>
      </c>
      <c r="I43" s="24">
        <v>46143.922025462962</v>
      </c>
    </row>
    <row r="44" spans="1:9">
      <c r="A44" s="5" t="s">
        <v>62</v>
      </c>
      <c r="B44" s="5" t="s">
        <v>68</v>
      </c>
      <c r="C44" s="5" t="s">
        <v>84</v>
      </c>
      <c r="D44" s="5"/>
      <c r="E44" s="5"/>
      <c r="F44" s="5"/>
      <c r="G44" s="5"/>
      <c r="H44" s="5"/>
      <c r="I44" s="5"/>
    </row>
    <row r="45" spans="1:9">
      <c r="A45" s="16" t="s">
        <v>62</v>
      </c>
      <c r="B45" s="16" t="s">
        <v>68</v>
      </c>
      <c r="C45" s="16" t="s">
        <v>42</v>
      </c>
      <c r="D45" s="5"/>
      <c r="E45" s="5"/>
      <c r="F45" s="5"/>
      <c r="G45" s="5"/>
      <c r="H45" s="5"/>
      <c r="I45" s="5"/>
    </row>
    <row r="46" spans="1:9">
      <c r="A46" s="5" t="s">
        <v>23</v>
      </c>
      <c r="B46" s="5" t="s">
        <v>66</v>
      </c>
      <c r="C46" s="5" t="s">
        <v>61</v>
      </c>
      <c r="D46" s="5"/>
      <c r="E46" s="5"/>
      <c r="F46" s="5"/>
      <c r="G46" s="5"/>
      <c r="H46" s="5"/>
      <c r="I46" s="5"/>
    </row>
    <row r="47" spans="1:9">
      <c r="A47" s="16" t="s">
        <v>23</v>
      </c>
      <c r="B47" s="16" t="s">
        <v>82</v>
      </c>
      <c r="C47" s="16" t="s">
        <v>83</v>
      </c>
      <c r="D47" s="5"/>
      <c r="E47" s="5"/>
      <c r="F47" s="5"/>
      <c r="G47" s="5"/>
      <c r="H47" s="5"/>
      <c r="I47" s="5"/>
    </row>
    <row r="48" spans="1:9">
      <c r="A48" s="5" t="s">
        <v>65</v>
      </c>
      <c r="B48" s="5" t="s">
        <v>66</v>
      </c>
      <c r="C48" s="5" t="s">
        <v>39</v>
      </c>
      <c r="D48" s="5"/>
      <c r="E48" s="5"/>
      <c r="F48" s="5"/>
      <c r="G48" s="5"/>
      <c r="H48" s="5"/>
      <c r="I48" s="5"/>
    </row>
    <row r="49" spans="1:9">
      <c r="A49" s="16" t="s">
        <v>65</v>
      </c>
      <c r="B49" s="16" t="s">
        <v>66</v>
      </c>
      <c r="C49" s="16" t="s">
        <v>60</v>
      </c>
      <c r="D49" s="5"/>
      <c r="E49" s="5"/>
      <c r="F49" s="5"/>
      <c r="G49" s="5"/>
      <c r="H49" s="5"/>
      <c r="I49" s="5"/>
    </row>
    <row r="50" spans="1:9">
      <c r="A50" s="5" t="s">
        <v>65</v>
      </c>
      <c r="B50" s="5" t="s">
        <v>66</v>
      </c>
      <c r="C50" s="5" t="s">
        <v>87</v>
      </c>
      <c r="D50" s="5"/>
      <c r="E50" s="5"/>
      <c r="F50" s="5"/>
      <c r="G50" s="5"/>
      <c r="H50" s="5"/>
      <c r="I50" s="5"/>
    </row>
  </sheetData>
  <mergeCells count="1">
    <mergeCell ref="B2:E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A51A-9D1C-4F35-9C58-162AC4B11F14}">
  <dimension ref="A1:D58"/>
  <sheetViews>
    <sheetView tabSelected="1" topLeftCell="B7" workbookViewId="0">
      <selection activeCell="C41" sqref="C41"/>
    </sheetView>
  </sheetViews>
  <sheetFormatPr defaultRowHeight="15"/>
  <cols>
    <col min="1" max="1" width="9.140625" style="6"/>
    <col min="2" max="2" width="15.140625" style="6" bestFit="1" customWidth="1"/>
    <col min="3" max="3" width="151.140625" style="7" customWidth="1"/>
    <col min="4" max="4" width="13.5703125" style="6" bestFit="1" customWidth="1"/>
    <col min="5" max="5" width="10.140625" style="6" bestFit="1" customWidth="1"/>
    <col min="6" max="6" width="13.5703125" style="6" bestFit="1" customWidth="1"/>
    <col min="7" max="16384" width="9.140625" style="6"/>
  </cols>
  <sheetData>
    <row r="1" spans="1:3">
      <c r="A1" s="28" t="s">
        <v>32</v>
      </c>
      <c r="B1" s="28"/>
      <c r="C1" s="28"/>
    </row>
    <row r="2" spans="1:3">
      <c r="B2" s="29" t="s">
        <v>33</v>
      </c>
      <c r="C2" s="29"/>
    </row>
    <row r="3" spans="1:3" ht="30">
      <c r="B3" s="6">
        <v>1</v>
      </c>
      <c r="C3" s="7" t="s">
        <v>31</v>
      </c>
    </row>
    <row r="4" spans="1:3">
      <c r="B4" s="6">
        <v>2</v>
      </c>
      <c r="C4" s="7" t="s">
        <v>34</v>
      </c>
    </row>
    <row r="12" spans="1:3" ht="30">
      <c r="B12" s="6">
        <v>3</v>
      </c>
      <c r="C12" s="7" t="s">
        <v>37</v>
      </c>
    </row>
    <row r="13" spans="1:3">
      <c r="B13" s="6">
        <v>4</v>
      </c>
      <c r="C13" s="7" t="s">
        <v>35</v>
      </c>
    </row>
    <row r="14" spans="1:3">
      <c r="B14" s="6" t="s">
        <v>36</v>
      </c>
    </row>
    <row r="15" spans="1:3">
      <c r="C15" s="7" t="s">
        <v>46</v>
      </c>
    </row>
    <row r="34" spans="2:4">
      <c r="C34" s="7" t="s">
        <v>47</v>
      </c>
    </row>
    <row r="35" spans="2:4" ht="45">
      <c r="C35" s="7" t="s">
        <v>48</v>
      </c>
      <c r="D35" s="6" t="s">
        <v>59</v>
      </c>
    </row>
    <row r="36" spans="2:4">
      <c r="C36" s="7" t="s">
        <v>49</v>
      </c>
    </row>
    <row r="37" spans="2:4" ht="30">
      <c r="C37" s="7" t="s">
        <v>50</v>
      </c>
    </row>
    <row r="38" spans="2:4">
      <c r="C38" s="7" t="s">
        <v>54</v>
      </c>
    </row>
    <row r="39" spans="2:4" ht="45">
      <c r="C39" s="7" t="s">
        <v>55</v>
      </c>
    </row>
    <row r="40" spans="2:4">
      <c r="C40" s="7" t="s">
        <v>51</v>
      </c>
    </row>
    <row r="41" spans="2:4">
      <c r="C41" s="7" t="s">
        <v>52</v>
      </c>
    </row>
    <row r="42" spans="2:4">
      <c r="C42" s="7" t="s">
        <v>53</v>
      </c>
    </row>
    <row r="43" spans="2:4">
      <c r="B43" s="6" t="s">
        <v>56</v>
      </c>
      <c r="C43" s="7" t="s">
        <v>57</v>
      </c>
    </row>
    <row r="58" spans="3:3">
      <c r="C58" s="7" t="s">
        <v>58</v>
      </c>
    </row>
  </sheetData>
  <mergeCells count="2">
    <mergeCell ref="A1:C1"/>
    <mergeCell ref="B2:C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061A7-C7E2-439C-B598-010E38359E6D}">
  <dimension ref="B2:R4"/>
  <sheetViews>
    <sheetView workbookViewId="0">
      <selection activeCell="D3" sqref="D3"/>
    </sheetView>
  </sheetViews>
  <sheetFormatPr defaultRowHeight="15"/>
  <sheetData>
    <row r="2" spans="2:18">
      <c r="B2" t="s">
        <v>108</v>
      </c>
    </row>
    <row r="3" spans="2:18" ht="30">
      <c r="B3" s="10" t="s">
        <v>98</v>
      </c>
      <c r="C3" s="10" t="s">
        <v>12</v>
      </c>
      <c r="D3" s="15" t="s">
        <v>64</v>
      </c>
      <c r="E3" s="15" t="s">
        <v>69</v>
      </c>
      <c r="F3" s="15" t="s">
        <v>13</v>
      </c>
      <c r="G3" s="10" t="s">
        <v>91</v>
      </c>
      <c r="H3" s="10" t="s">
        <v>99</v>
      </c>
      <c r="I3" s="10" t="s">
        <v>100</v>
      </c>
      <c r="J3" s="10" t="s">
        <v>101</v>
      </c>
      <c r="K3" s="10" t="s">
        <v>102</v>
      </c>
      <c r="L3" s="10" t="s">
        <v>103</v>
      </c>
      <c r="M3" s="10" t="s">
        <v>89</v>
      </c>
      <c r="N3" s="10" t="s">
        <v>104</v>
      </c>
      <c r="O3" s="10" t="s">
        <v>105</v>
      </c>
      <c r="P3" s="10" t="s">
        <v>106</v>
      </c>
      <c r="Q3" s="10" t="s">
        <v>93</v>
      </c>
      <c r="R3" s="10" t="s">
        <v>107</v>
      </c>
    </row>
    <row r="4" spans="2:18" ht="27">
      <c r="B4" s="11">
        <v>514</v>
      </c>
      <c r="C4" s="12" t="s">
        <v>75</v>
      </c>
      <c r="D4" s="12" t="s">
        <v>97</v>
      </c>
      <c r="E4" s="14"/>
      <c r="F4" s="12"/>
      <c r="G4" s="11">
        <v>131.313122923588</v>
      </c>
      <c r="H4" s="11">
        <v>123.33</v>
      </c>
      <c r="I4" s="11">
        <v>39525.25</v>
      </c>
      <c r="J4" s="11">
        <v>37122.33</v>
      </c>
      <c r="K4" s="11">
        <v>-2402.92</v>
      </c>
      <c r="L4" s="11">
        <v>-6.0794555379156296</v>
      </c>
      <c r="M4" s="13">
        <v>46143.921689814815</v>
      </c>
      <c r="N4" s="13">
        <v>46143.921689814815</v>
      </c>
      <c r="O4" s="11">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Pratap Mishra</dc:creator>
  <cp:lastModifiedBy>Krishna Pratap Mishra</cp:lastModifiedBy>
  <dcterms:created xsi:type="dcterms:W3CDTF">2026-05-01T15:28:37Z</dcterms:created>
  <dcterms:modified xsi:type="dcterms:W3CDTF">2026-05-02T11:31:34Z</dcterms:modified>
</cp:coreProperties>
</file>